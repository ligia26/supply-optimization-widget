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<sst xmlns="http://schemas.openxmlformats.org/spreadsheetml/2006/main" count="24" uniqueCount="19">
  <si>
    <t>data</t>
  </si>
  <si>
    <t>break even</t>
  </si>
  <si>
    <t>taras</t>
  </si>
  <si>
    <t>scoglio</t>
  </si>
  <si>
    <t>virgilio</t>
  </si>
  <si>
    <t>lorenzo</t>
  </si>
  <si>
    <t>dante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</si>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</sst>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10]DD/MM/YYYY"/>
    <numFmt numFmtId="165" formatCode="_-* #,##0_-;\-* #,##0_-;_-* \-??_-;_-@"/>
  </numFmts>
  <fonts count="2">
    <font>
      <sz val="11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2" fillId="0" fontId="1" numFmtId="165" xfId="0" applyAlignment="1" applyBorder="1" applyFont="1" applyNumberForma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4" fillId="0" fontId="1" numFmtId="165" xfId="0" applyAlignment="1" applyBorder="1" applyFont="1" applyNumberFormat="1">
      <alignment shrinkToFit="0" vertical="bottom" wrapText="0"/>
    </xf>
    <xf borderId="5" fillId="0" fontId="1" numFmtId="165" xfId="0" applyAlignment="1" applyBorder="1" applyFont="1" applyNumberFormat="1">
      <alignment shrinkToFit="0" vertical="bottom" wrapText="0"/>
    </xf>
    <xf borderId="6" fillId="0" fontId="1" numFmtId="165" xfId="0" applyAlignment="1" applyBorder="1" applyFont="1" applyNumberFormat="1">
      <alignment shrinkToFit="0" vertical="bottom" wrapText="0"/>
    </xf>
    <xf borderId="7" fillId="0" fontId="1" numFmtId="165" xfId="0" applyAlignment="1" applyBorder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8" fillId="0" fontId="1" numFmtId="165" xfId="0" applyAlignment="1" applyBorder="1" applyFont="1" applyNumberFormat="1">
      <alignment shrinkToFit="0" vertical="bottom" wrapText="0"/>
    </xf>
    <xf borderId="9" fillId="0" fontId="1" numFmtId="165" xfId="0" applyAlignment="1" applyBorder="1" applyFont="1" applyNumberFormat="1">
      <alignment shrinkToFit="0" vertical="bottom" wrapText="0"/>
    </xf>
    <xf borderId="10" fillId="0" fontId="1" numFmtId="165" xfId="0" applyAlignment="1" applyBorder="1" applyFont="1" applyNumberFormat="1">
      <alignment shrinkToFit="0" vertical="bottom" wrapText="0"/>
    </xf>
    <xf borderId="11" fillId="0" fontId="1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1.14"/>
    <col customWidth="1" min="4" max="4" width="10.71"/>
    <col customWidth="1" min="5" max="5" width="11.29"/>
    <col customWidth="1" min="6" max="8" width="10.71"/>
    <col customWidth="1" min="9" max="10" width="13.14"/>
    <col customWidth="1" min="11" max="11" width="10.71"/>
    <col customWidth="1" min="12" max="12" width="13.14"/>
    <col customWidth="1" min="13" max="13" width="11.14"/>
    <col customWidth="1" min="14" max="14" width="10.57"/>
    <col customWidth="1" min="15" max="17" width="9.43"/>
  </cols>
  <sheetData>
    <row r="1">
      <c r="E1" s="1">
        <v>46022.0</v>
      </c>
      <c r="H1" t="s">
        <v>0</v>
      </c>
      <c r="I1" s="1">
        <v>46173.0</v>
      </c>
      <c r="K1" s="2" t="str">
        <f>+(I1-E1)/365</f>
        <v>41.37%</v>
      </c>
      <c r="L1" s="3" t="str">
        <f>+K1*E3</f>
        <v>  1,460,589 </v>
      </c>
      <c r="M1" s="4" t="s">
        <v>1</v>
      </c>
    </row>
    <row r="3">
      <c r="C3" s="5">
        <v>2025.0</v>
      </c>
      <c r="D3" s="6"/>
      <c r="E3" s="7" t="str">
        <f>+C17+D17+E17+F17+G17</f>
        <v>  3,530,564 </v>
      </c>
      <c r="H3" s="5">
        <v>2026.0</v>
      </c>
      <c r="I3" s="6"/>
      <c r="J3" s="7" t="str">
        <f>+H17+I17+J17+K17+L17</f>
        <v>  1,642,667 </v>
      </c>
      <c r="K3" s="2" t="str">
        <f>+J3/E3</f>
        <v>46.53%</v>
      </c>
    </row>
    <row r="4">
      <c r="C4" s="8" t="s">
        <v>2</v>
      </c>
      <c r="D4" s="9" t="s">
        <v>3</v>
      </c>
      <c r="E4" s="9" t="s">
        <v>4</v>
      </c>
      <c r="F4" s="9" t="s">
        <v>5</v>
      </c>
      <c r="G4" s="10" t="s">
        <v>6</v>
      </c>
      <c r="H4" s="8" t="s">
        <v>2</v>
      </c>
      <c r="I4" s="9" t="s">
        <v>3</v>
      </c>
      <c r="J4" s="9" t="s">
        <v>4</v>
      </c>
      <c r="K4" s="9" t="s">
        <v>5</v>
      </c>
      <c r="L4" s="10" t="s">
        <v>6</v>
      </c>
    </row>
    <row r="5">
      <c r="B5" t="s">
        <v>7</v>
      </c>
      <c r="C5" s="11">
        <v>86729.35</v>
      </c>
      <c r="D5" s="12">
        <v>83373.1</v>
      </c>
      <c r="E5" s="12">
        <v>29165.19</v>
      </c>
      <c r="F5" s="12">
        <v>11844.73</v>
      </c>
      <c r="G5" s="13">
        <v>34006.23</v>
      </c>
      <c r="H5" s="11">
        <v>115547.21</v>
      </c>
      <c r="I5" s="12">
        <v>69395.01</v>
      </c>
      <c r="J5" s="12">
        <v>30106.63</v>
      </c>
      <c r="K5" s="12">
        <v>35066.73</v>
      </c>
      <c r="L5" s="13">
        <v>44649.95</v>
      </c>
    </row>
    <row r="6">
      <c r="B6" t="s">
        <v>8</v>
      </c>
      <c r="C6" s="14">
        <v>95791.92</v>
      </c>
      <c r="D6" s="15">
        <v>72086.2</v>
      </c>
      <c r="E6" s="15">
        <v>29866.88</v>
      </c>
      <c r="F6" s="15">
        <v>11762.58</v>
      </c>
      <c r="G6" s="16">
        <v>28531.55</v>
      </c>
      <c r="H6" s="14">
        <v>114736.95</v>
      </c>
      <c r="I6" s="15">
        <v>59439.28</v>
      </c>
      <c r="J6" s="15">
        <v>17692.97</v>
      </c>
      <c r="K6" s="15">
        <v>27833.33</v>
      </c>
      <c r="L6" s="16">
        <v>39102.77</v>
      </c>
    </row>
    <row r="7">
      <c r="B7" t="s">
        <v>9</v>
      </c>
      <c r="C7" s="14">
        <v>104085.76</v>
      </c>
      <c r="D7" s="15">
        <v>80395.95</v>
      </c>
      <c r="E7" s="15">
        <v>36648.85</v>
      </c>
      <c r="F7" s="15">
        <v>15435.9</v>
      </c>
      <c r="G7" s="16">
        <v>36614.49</v>
      </c>
      <c r="H7" s="14">
        <v>97932.43</v>
      </c>
      <c r="I7" s="15">
        <v>62757.87</v>
      </c>
      <c r="J7" s="15">
        <v>25860.73</v>
      </c>
      <c r="K7" s="15">
        <v>33771.59</v>
      </c>
      <c r="L7" s="16">
        <v>36808.92</v>
      </c>
    </row>
    <row r="8">
      <c r="B8" t="s">
        <v>10</v>
      </c>
      <c r="C8" s="14">
        <v>124618.53</v>
      </c>
      <c r="D8" s="15">
        <v>83998.5</v>
      </c>
      <c r="E8" s="15">
        <v>37522.4</v>
      </c>
      <c r="F8" s="15">
        <v>15263.78</v>
      </c>
      <c r="G8" s="16">
        <v>44472.95</v>
      </c>
      <c r="H8" s="14">
        <v>96729.21</v>
      </c>
      <c r="I8" s="15">
        <v>55026.93</v>
      </c>
      <c r="J8" s="15">
        <v>23348.37</v>
      </c>
      <c r="K8" s="15">
        <v>19525.73</v>
      </c>
      <c r="L8" s="16">
        <v>27578.73</v>
      </c>
    </row>
    <row r="9">
      <c r="B9" t="s">
        <v>11</v>
      </c>
      <c r="C9" s="14">
        <v>141947.81</v>
      </c>
      <c r="D9" s="15">
        <v>80946.21</v>
      </c>
      <c r="E9" s="15">
        <v>38649.48</v>
      </c>
      <c r="F9" s="15">
        <v>14469.87</v>
      </c>
      <c r="G9" s="16">
        <v>41499.49</v>
      </c>
      <c r="H9" s="14">
        <v>135398.0</v>
      </c>
      <c r="I9" s="15">
        <v>65105.0</v>
      </c>
      <c r="J9" s="15">
        <v>32587.0</v>
      </c>
      <c r="K9" s="15">
        <v>29712.0</v>
      </c>
      <c r="L9" s="16">
        <v>42795.0</v>
      </c>
      <c r="M9" s="14">
        <v>514500.0</v>
      </c>
      <c r="N9" s="15">
        <v>288200.0</v>
      </c>
      <c r="O9" s="15">
        <v>117500.0</v>
      </c>
      <c r="P9" s="15">
        <v>135500.0</v>
      </c>
      <c r="Q9" s="16">
        <v>175000.0</v>
      </c>
    </row>
    <row r="10">
      <c r="B10" t="s">
        <v>12</v>
      </c>
      <c r="C10" s="14">
        <v>130363.24</v>
      </c>
      <c r="D10" s="15">
        <v>82706.8</v>
      </c>
      <c r="E10" s="15">
        <v>37444.91</v>
      </c>
      <c r="F10" s="15">
        <v>14068.09</v>
      </c>
      <c r="G10" s="16">
        <v>42334.81</v>
      </c>
      <c r="H10" s="14">
        <v>142727.0</v>
      </c>
      <c r="I10" s="15">
        <v>75197.0</v>
      </c>
      <c r="J10" s="15">
        <v>34311.0</v>
      </c>
      <c r="K10" s="15">
        <v>22767.0</v>
      </c>
      <c r="L10" s="16">
        <v>29157.0</v>
      </c>
    </row>
    <row r="11">
      <c r="B11" t="s">
        <v>13</v>
      </c>
      <c r="C11" s="14">
        <v>123270.66</v>
      </c>
      <c r="D11" s="15">
        <v>85370.06</v>
      </c>
      <c r="E11" s="15">
        <v>35157.68</v>
      </c>
      <c r="F11" s="15">
        <v>13387.48</v>
      </c>
      <c r="G11" s="16">
        <v>45206.24</v>
      </c>
      <c r="H11" s="14"/>
      <c r="I11" s="15"/>
      <c r="J11" s="15"/>
      <c r="K11" s="15"/>
      <c r="L11" s="16"/>
    </row>
    <row r="12">
      <c r="B12" t="s">
        <v>14</v>
      </c>
      <c r="C12" s="14">
        <v>133006.34</v>
      </c>
      <c r="D12" s="15">
        <v>90016.75</v>
      </c>
      <c r="E12" s="15">
        <v>49166.69</v>
      </c>
      <c r="F12" s="15">
        <v>29963.23</v>
      </c>
      <c r="G12" s="16">
        <v>54396.48</v>
      </c>
      <c r="H12" s="14"/>
      <c r="I12" s="15"/>
      <c r="J12" s="15"/>
      <c r="K12" s="15"/>
      <c r="L12" s="16"/>
    </row>
    <row r="13">
      <c r="B13" t="s">
        <v>15</v>
      </c>
      <c r="C13" s="14">
        <v>118273.19</v>
      </c>
      <c r="D13" s="15">
        <v>83256.21</v>
      </c>
      <c r="E13" s="15">
        <v>38912.09</v>
      </c>
      <c r="F13" s="15">
        <v>30229.01</v>
      </c>
      <c r="G13" s="16">
        <v>47092.59</v>
      </c>
      <c r="H13" s="14"/>
      <c r="I13" s="15"/>
      <c r="J13" s="15"/>
      <c r="K13" s="15"/>
      <c r="L13" s="16"/>
    </row>
    <row r="14">
      <c r="B14" t="s">
        <v>16</v>
      </c>
      <c r="C14" s="14">
        <v>131522.36</v>
      </c>
      <c r="D14" s="15">
        <v>73178.25</v>
      </c>
      <c r="E14" s="15">
        <v>32081.55</v>
      </c>
      <c r="F14" s="15">
        <v>24356.45</v>
      </c>
      <c r="G14" s="16">
        <v>46128.33</v>
      </c>
      <c r="H14" s="14"/>
      <c r="I14" s="15"/>
      <c r="J14" s="15"/>
      <c r="K14" s="15"/>
      <c r="L14" s="16"/>
    </row>
    <row r="15">
      <c r="B15" t="s">
        <v>17</v>
      </c>
      <c r="C15" s="14">
        <v>100935.44</v>
      </c>
      <c r="D15" s="15">
        <v>65108.61</v>
      </c>
      <c r="E15" s="15">
        <v>30337.98</v>
      </c>
      <c r="F15" s="15">
        <v>19640.78</v>
      </c>
      <c r="G15" s="16">
        <v>41239.77</v>
      </c>
      <c r="H15" s="14"/>
      <c r="I15" s="15"/>
      <c r="J15" s="15"/>
      <c r="K15" s="15"/>
      <c r="L15" s="16"/>
    </row>
    <row r="16">
      <c r="B16" t="s">
        <v>18</v>
      </c>
      <c r="C16" s="17">
        <v>129270.02</v>
      </c>
      <c r="D16" s="18">
        <v>70425.25</v>
      </c>
      <c r="E16" s="18">
        <v>35492.61</v>
      </c>
      <c r="F16" s="18">
        <v>19728.71</v>
      </c>
      <c r="G16" s="19">
        <v>47767.23</v>
      </c>
      <c r="H16" s="17"/>
      <c r="I16" s="18"/>
      <c r="J16" s="18"/>
      <c r="K16" s="18"/>
      <c r="L16" s="19"/>
    </row>
    <row r="17">
      <c r="C17" s="15" t="str">
        <f t="shared" ref="C17:L17" si="1">SUM(C5:C16)</f>
        <v>  1,419,815 </v>
      </c>
      <c r="D17" s="15" t="str">
        <f t="shared" si="1"/>
        <v>  950,862 </v>
      </c>
      <c r="E17" s="15" t="str">
        <f t="shared" si="1"/>
        <v>  430,446 </v>
      </c>
      <c r="F17" s="15" t="str">
        <f t="shared" si="1"/>
        <v>  220,151 </v>
      </c>
      <c r="G17" s="15" t="str">
        <f t="shared" si="1"/>
        <v>  509,290 </v>
      </c>
      <c r="H17" s="15" t="str">
        <f t="shared" si="1"/>
        <v>  703,071 </v>
      </c>
      <c r="I17" s="15" t="str">
        <f t="shared" si="1"/>
        <v>  386,921 </v>
      </c>
      <c r="J17" s="15" t="str">
        <f t="shared" si="1"/>
        <v>  163,907 </v>
      </c>
      <c r="K17" s="15" t="str">
        <f t="shared" si="1"/>
        <v>  168,676 </v>
      </c>
      <c r="L17" s="15" t="str">
        <f t="shared" si="1"/>
        <v>  220,092 </v>
      </c>
    </row>
    <row r="18">
      <c r="H18" s="2" t="str">
        <f t="shared" ref="H18:L18" si="2">+H17/C17</f>
        <v>49.52%</v>
      </c>
      <c r="I18" s="2" t="str">
        <f t="shared" si="2"/>
        <v>40.69%</v>
      </c>
      <c r="J18" s="2" t="str">
        <f t="shared" si="2"/>
        <v>38.08%</v>
      </c>
      <c r="K18" s="2" t="str">
        <f t="shared" si="2"/>
        <v>76.62%</v>
      </c>
      <c r="L18" s="2" t="str">
        <f t="shared" si="2"/>
        <v>43.22%</v>
      </c>
    </row>
    <row r="21" ht="15.75" customHeight="1"/>
    <row r="22" ht="15.75" customHeight="1"/>
    <row r="23" ht="15.75" customHeight="1"/>
    <row r="24" ht="15.75" customHeight="1"/>
    <row r="25" ht="15.75" customHeight="1">
      <c r="C25">
        <v>1345229.0</v>
      </c>
      <c r="D25">
        <v>950059.0</v>
      </c>
      <c r="E25">
        <v>429844.0</v>
      </c>
      <c r="F25">
        <v>220150.0</v>
      </c>
      <c r="G25">
        <v>509290.0</v>
      </c>
      <c r="H25">
        <v>514500.0</v>
      </c>
      <c r="I25">
        <v>288200.0</v>
      </c>
      <c r="J25">
        <v>117500.0</v>
      </c>
      <c r="K25">
        <v>135500.0</v>
      </c>
      <c r="L25">
        <v>175000.0</v>
      </c>
    </row>
    <row r="26" ht="15.75" customHeight="1">
      <c r="H26">
        <v>0.382462762845582</v>
      </c>
      <c r="I26">
        <v>0.303349581447047</v>
      </c>
      <c r="J26">
        <v>0.273354984599064</v>
      </c>
      <c r="K26">
        <v>0.615489439018851</v>
      </c>
      <c r="L26">
        <v>0.343615621747924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Company>HP</Company>
  <TotalTime>8</TotalTime>
  <Application>LibreOffice/6.3.6.2$Windows_X86_64 LibreOffice_project/2196df99b074d8a661f4036fca8fa0cbfa33a497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2026-05-21T18:47:36Z</dcterms:created>
  <dc:creator>Giuseppe Argento</dc:creator>
  <dc:description/>
  <dc:language>it-IT</dc:language>
  <cp:lastModifiedBy/>
  <dcterms:modified xsi:type="dcterms:W3CDTF">2026-07-08T15:46:29Z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HP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