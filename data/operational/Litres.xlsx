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5" sheetId="1" r:id="rId5"/>
    <sheet state="visible" name="February 2025" sheetId="2" r:id="rId6"/>
    <sheet state="visible" name="March 2025" sheetId="3" r:id="rId7"/>
    <sheet state="visible" name="Sheet3" sheetId="4" r:id="rId8"/>
    <sheet state="visible" name="Sheet2" sheetId="5" r:id="rId9"/>
  </sheets>
  <definedNames/>
  <calcPr/>
</workbook>
</file>

<file path=xl/sharedStrings.xml><?xml version="1.0" encoding="utf-8"?>
<sst xmlns="http://schemas.openxmlformats.org/spreadsheetml/2006/main" count="155" uniqueCount="23">
  <si>
    <t>MG 368318</t>
  </si>
  <si>
    <t>Virgilio 368321</t>
  </si>
  <si>
    <t>Dante 368322</t>
  </si>
  <si>
    <t>MG340 368319</t>
  </si>
  <si>
    <t>Scoglio del Tonno 368320</t>
  </si>
  <si>
    <t>verde</t>
  </si>
  <si>
    <t>diesel</t>
  </si>
  <si>
    <t>tot verde</t>
  </si>
  <si>
    <t>tot diesel</t>
  </si>
  <si>
    <t>wed</t>
  </si>
  <si>
    <t>thu</t>
  </si>
  <si>
    <t>fri</t>
  </si>
  <si>
    <t>sat</t>
  </si>
  <si>
    <t>sun</t>
  </si>
  <si>
    <t>mon</t>
  </si>
  <si>
    <t>tue</t>
  </si>
  <si>
    <t>gg oil</t>
  </si>
  <si>
    <t>ip</t>
  </si>
  <si>
    <t>q8</t>
  </si>
  <si>
    <t>gas</t>
  </si>
  <si>
    <t>ben</t>
  </si>
  <si>
    <t>Tot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</si>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</sst>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, &quot;yyyy"/>
    <numFmt numFmtId="165" formatCode="0.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</fills>
  <borders count="20">
    <border/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3" fontId="2" numFmtId="0" xfId="0" applyAlignment="1" applyBorder="1" applyFill="1" applyFont="1">
      <alignment readingOrder="0"/>
    </xf>
    <xf borderId="4" fillId="4" fontId="2" numFmtId="0" xfId="0" applyAlignment="1" applyBorder="1" applyFill="1" applyFont="1">
      <alignment readingOrder="0"/>
    </xf>
    <xf borderId="5" fillId="4" fontId="2" numFmtId="0" xfId="0" applyAlignment="1" applyBorder="1" applyFont="1">
      <alignment readingOrder="0"/>
    </xf>
    <xf borderId="6" fillId="3" fontId="4" numFmtId="0" xfId="0" applyAlignment="1" applyBorder="1" applyFont="1">
      <alignment vertical="bottom"/>
    </xf>
    <xf borderId="7" fillId="4" fontId="4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3" fillId="0" fontId="4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0" fillId="0" fontId="2" numFmtId="0" xfId="0" applyFont="1"/>
    <xf borderId="4" fillId="0" fontId="4" numFmtId="2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9" fillId="0" fontId="2" numFmtId="0" xfId="0" applyAlignment="1" applyBorder="1" applyFont="1">
      <alignment readingOrder="0"/>
    </xf>
    <xf borderId="3" fillId="3" fontId="4" numFmtId="0" xfId="0" applyAlignment="1" applyBorder="1" applyFont="1">
      <alignment vertical="bottom"/>
    </xf>
    <xf borderId="0" fillId="0" fontId="2" numFmtId="165" xfId="0" applyFont="1" applyNumberFormat="1"/>
    <xf borderId="4" fillId="4" fontId="4" numFmtId="0" xfId="0" applyAlignment="1" applyBorder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3" fillId="0" fontId="4" numFmtId="2" xfId="0" applyAlignment="1" applyBorder="1" applyFont="1" applyNumberFormat="1">
      <alignment horizontal="right" vertical="bottom"/>
    </xf>
    <xf borderId="0" fillId="0" fontId="2" numFmtId="2" xfId="0" applyFont="1" applyNumberFormat="1"/>
    <xf borderId="10" fillId="0" fontId="2" numFmtId="0" xfId="0" applyAlignment="1" applyBorder="1" applyFont="1">
      <alignment readingOrder="0"/>
    </xf>
    <xf borderId="3" fillId="0" fontId="4" numFmtId="0" xfId="0" applyAlignment="1" applyBorder="1" applyFont="1">
      <alignment horizontal="right" readingOrder="0" vertical="bottom"/>
    </xf>
    <xf borderId="4" fillId="0" fontId="4" numFmtId="0" xfId="0" applyAlignment="1" applyBorder="1" applyFont="1">
      <alignment horizontal="right" readingOrder="0" vertical="bottom"/>
    </xf>
    <xf borderId="4" fillId="0" fontId="2" numFmtId="0" xfId="0" applyBorder="1" applyFont="1"/>
    <xf borderId="3" fillId="0" fontId="2" numFmtId="0" xfId="0" applyBorder="1" applyFont="1"/>
    <xf borderId="11" fillId="0" fontId="2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Alignment="1" applyBorder="1" applyFont="1">
      <alignment readingOrder="0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5" fontId="2" numFmtId="4" xfId="0" applyAlignment="1" applyBorder="1" applyFill="1" applyFont="1" applyNumberFormat="1">
      <alignment horizontal="center" vertical="center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horizontal="right" vertical="bottom"/>
    </xf>
    <xf borderId="19" fillId="0" fontId="2" numFmtId="0" xfId="0" applyBorder="1" applyFont="1"/>
    <xf borderId="15" fillId="0" fontId="4" numFmtId="0" xfId="0" applyAlignment="1" applyBorder="1" applyFont="1">
      <alignment horizontal="right" vertical="bottom"/>
    </xf>
    <xf borderId="16" fillId="0" fontId="4" numFmtId="0" xfId="0" applyAlignment="1" applyBorder="1" applyFon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5ABAB"/>
          <bgColor rgb="FFE5ABA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25"/>
    <col customWidth="1" min="16" max="16" width="5.13"/>
  </cols>
  <sheetData>
    <row r="1">
      <c r="B1" s="1">
        <v>45682.0</v>
      </c>
    </row>
    <row r="2">
      <c r="C2" s="2" t="s">
        <v>0</v>
      </c>
      <c r="D2" s="3"/>
      <c r="E2" s="2" t="s">
        <v>1</v>
      </c>
      <c r="F2" s="3"/>
      <c r="G2" s="2" t="s">
        <v>2</v>
      </c>
      <c r="H2" s="3"/>
      <c r="I2" s="2" t="s">
        <v>3</v>
      </c>
      <c r="J2" s="3"/>
      <c r="K2" s="2" t="s">
        <v>4</v>
      </c>
      <c r="L2" s="3"/>
    </row>
    <row r="3"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  <c r="I3" s="4" t="s">
        <v>5</v>
      </c>
      <c r="J3" s="5" t="s">
        <v>6</v>
      </c>
      <c r="K3" s="4" t="s">
        <v>5</v>
      </c>
      <c r="L3" s="6" t="s">
        <v>6</v>
      </c>
      <c r="M3" s="7" t="s">
        <v>7</v>
      </c>
      <c r="N3" s="8" t="s">
        <v>8</v>
      </c>
    </row>
    <row r="4">
      <c r="A4" s="9">
        <v>1.0</v>
      </c>
      <c r="B4" s="10" t="s">
        <v>9</v>
      </c>
      <c r="C4" s="11">
        <v>1328.37</v>
      </c>
      <c r="D4" s="12">
        <v>2474.94</v>
      </c>
      <c r="E4" s="11">
        <v>450.53</v>
      </c>
      <c r="F4" s="12">
        <v>511.6</v>
      </c>
      <c r="G4" s="11">
        <v>359.74</v>
      </c>
      <c r="H4" s="12">
        <v>700.77</v>
      </c>
      <c r="I4" s="11">
        <v>142.79</v>
      </c>
      <c r="J4" s="12">
        <v>285.74</v>
      </c>
      <c r="K4" s="11">
        <v>765.12</v>
      </c>
      <c r="L4" s="10">
        <v>962.33</v>
      </c>
      <c r="M4" s="13">
        <f t="shared" ref="M4:N4" si="1">SUM(C4+E4+G4+I4+K4)</f>
        <v>3046.55</v>
      </c>
      <c r="N4" s="14">
        <f t="shared" si="1"/>
        <v>4935.38</v>
      </c>
      <c r="O4" s="15">
        <f t="shared" ref="O4:O34" si="3">sum(M4:N4)</f>
        <v>7981.93</v>
      </c>
    </row>
    <row r="5">
      <c r="A5" s="9">
        <v>2.0</v>
      </c>
      <c r="B5" s="10" t="s">
        <v>10</v>
      </c>
      <c r="C5" s="11">
        <v>1670.16</v>
      </c>
      <c r="D5" s="12">
        <v>2763.31</v>
      </c>
      <c r="E5" s="11">
        <v>383.04</v>
      </c>
      <c r="F5" s="12">
        <v>545.91</v>
      </c>
      <c r="G5" s="11">
        <v>560.18</v>
      </c>
      <c r="H5" s="12">
        <v>602.82</v>
      </c>
      <c r="I5" s="11">
        <v>217.86</v>
      </c>
      <c r="J5" s="12">
        <v>376.2</v>
      </c>
      <c r="K5" s="11">
        <v>1425.24</v>
      </c>
      <c r="L5" s="10">
        <v>2242.15</v>
      </c>
      <c r="M5" s="13">
        <f t="shared" ref="M5:N5" si="2">SUM(C5+E5+G5+I5+K5)</f>
        <v>4256.48</v>
      </c>
      <c r="N5" s="14">
        <f t="shared" si="2"/>
        <v>6530.39</v>
      </c>
      <c r="O5" s="15">
        <f t="shared" si="3"/>
        <v>10786.87</v>
      </c>
    </row>
    <row r="6">
      <c r="A6" s="9">
        <v>3.0</v>
      </c>
      <c r="B6" s="10" t="s">
        <v>11</v>
      </c>
      <c r="C6" s="11">
        <v>1473.36</v>
      </c>
      <c r="D6" s="12">
        <v>2547.51</v>
      </c>
      <c r="E6" s="11">
        <v>455.74</v>
      </c>
      <c r="F6" s="12">
        <v>377.98</v>
      </c>
      <c r="G6" s="11">
        <v>481.81</v>
      </c>
      <c r="H6" s="12">
        <v>668.98</v>
      </c>
      <c r="I6" s="11">
        <v>136.54</v>
      </c>
      <c r="J6" s="12">
        <v>216.17</v>
      </c>
      <c r="K6" s="11">
        <v>1352.06</v>
      </c>
      <c r="L6" s="10">
        <v>1718.07</v>
      </c>
      <c r="M6" s="13">
        <f t="shared" ref="M6:N6" si="4">SUM(C6+E6+G6+I6+K6)</f>
        <v>3899.51</v>
      </c>
      <c r="N6" s="16">
        <f t="shared" si="4"/>
        <v>5528.71</v>
      </c>
      <c r="O6" s="15">
        <f t="shared" si="3"/>
        <v>9428.22</v>
      </c>
    </row>
    <row r="7">
      <c r="A7" s="9">
        <v>4.0</v>
      </c>
      <c r="B7" s="10" t="s">
        <v>12</v>
      </c>
      <c r="C7" s="11">
        <v>1160.84</v>
      </c>
      <c r="D7" s="12">
        <v>2596.18</v>
      </c>
      <c r="E7" s="11">
        <v>538.23</v>
      </c>
      <c r="F7" s="12">
        <v>592.59</v>
      </c>
      <c r="G7" s="11">
        <v>497.73</v>
      </c>
      <c r="H7" s="12">
        <v>590.93</v>
      </c>
      <c r="I7" s="11">
        <v>130.9</v>
      </c>
      <c r="J7" s="12">
        <v>126.39</v>
      </c>
      <c r="K7" s="11">
        <v>1028.45</v>
      </c>
      <c r="L7" s="10">
        <v>2013.49</v>
      </c>
      <c r="M7" s="13">
        <f t="shared" ref="M7:N7" si="5">SUM(C7+E7+G7+I7+K7)</f>
        <v>3356.15</v>
      </c>
      <c r="N7" s="16">
        <f t="shared" si="5"/>
        <v>5919.58</v>
      </c>
      <c r="O7" s="15">
        <f t="shared" si="3"/>
        <v>9275.73</v>
      </c>
    </row>
    <row r="8">
      <c r="A8" s="9">
        <v>5.0</v>
      </c>
      <c r="B8" s="10" t="s">
        <v>13</v>
      </c>
      <c r="C8" s="11">
        <v>1103.32</v>
      </c>
      <c r="D8" s="12">
        <v>2291.49</v>
      </c>
      <c r="E8" s="11">
        <v>621.56</v>
      </c>
      <c r="F8" s="12">
        <v>472.07</v>
      </c>
      <c r="G8" s="11">
        <v>404.4</v>
      </c>
      <c r="H8" s="12">
        <v>716.86</v>
      </c>
      <c r="I8" s="11">
        <v>138.41</v>
      </c>
      <c r="J8" s="12">
        <v>183.61</v>
      </c>
      <c r="K8" s="11">
        <v>606.18</v>
      </c>
      <c r="L8" s="10">
        <v>1175.6</v>
      </c>
      <c r="M8" s="13">
        <f t="shared" ref="M8:N8" si="6">SUM(C8+E8+G8+I8+K8)</f>
        <v>2873.87</v>
      </c>
      <c r="N8" s="14">
        <f t="shared" si="6"/>
        <v>4839.63</v>
      </c>
      <c r="O8" s="15">
        <f t="shared" si="3"/>
        <v>7713.5</v>
      </c>
    </row>
    <row r="9">
      <c r="A9" s="9">
        <v>6.0</v>
      </c>
      <c r="B9" s="10" t="s">
        <v>14</v>
      </c>
      <c r="C9" s="11">
        <v>968.41</v>
      </c>
      <c r="D9" s="12">
        <v>2283.72</v>
      </c>
      <c r="E9" s="11">
        <v>366.25</v>
      </c>
      <c r="F9" s="12">
        <v>406.95</v>
      </c>
      <c r="G9" s="11">
        <v>450.63</v>
      </c>
      <c r="H9" s="12">
        <v>591.08</v>
      </c>
      <c r="I9" s="11">
        <v>66.63</v>
      </c>
      <c r="J9" s="12">
        <v>69.24</v>
      </c>
      <c r="K9" s="11">
        <v>967.57</v>
      </c>
      <c r="L9" s="10">
        <v>1357.66</v>
      </c>
      <c r="M9" s="13">
        <f t="shared" ref="M9:N9" si="7">SUM(C9+E9+G9+I9+K9)</f>
        <v>2819.49</v>
      </c>
      <c r="N9" s="14">
        <f t="shared" si="7"/>
        <v>4708.65</v>
      </c>
      <c r="O9" s="15">
        <f t="shared" si="3"/>
        <v>7528.14</v>
      </c>
    </row>
    <row r="10">
      <c r="A10" s="9">
        <v>7.0</v>
      </c>
      <c r="B10" s="10" t="s">
        <v>15</v>
      </c>
      <c r="C10" s="11">
        <v>1403.75</v>
      </c>
      <c r="D10" s="12">
        <v>2383.96</v>
      </c>
      <c r="E10" s="11">
        <v>394.02</v>
      </c>
      <c r="F10" s="12">
        <v>486.43</v>
      </c>
      <c r="G10" s="11">
        <v>512.18</v>
      </c>
      <c r="H10" s="12">
        <v>518.27</v>
      </c>
      <c r="I10" s="11">
        <v>57.15</v>
      </c>
      <c r="J10" s="12">
        <v>188.37</v>
      </c>
      <c r="K10" s="11">
        <v>1132.98</v>
      </c>
      <c r="L10" s="10">
        <v>1825.25</v>
      </c>
      <c r="M10" s="13">
        <f t="shared" ref="M10:N10" si="8">SUM(C10+E10+G10+I10+K10)</f>
        <v>3500.08</v>
      </c>
      <c r="N10" s="14">
        <f t="shared" si="8"/>
        <v>5402.28</v>
      </c>
      <c r="O10" s="15">
        <f t="shared" si="3"/>
        <v>8902.36</v>
      </c>
    </row>
    <row r="11">
      <c r="A11" s="9">
        <v>8.0</v>
      </c>
      <c r="B11" s="10" t="s">
        <v>9</v>
      </c>
      <c r="C11" s="11">
        <v>1468.9</v>
      </c>
      <c r="D11" s="12">
        <v>2111.11</v>
      </c>
      <c r="E11" s="11">
        <v>603.12</v>
      </c>
      <c r="F11" s="12">
        <v>397.41</v>
      </c>
      <c r="G11" s="11">
        <v>550.48</v>
      </c>
      <c r="H11" s="12">
        <v>568.27</v>
      </c>
      <c r="I11" s="11">
        <v>165.49</v>
      </c>
      <c r="J11" s="12">
        <v>280.29</v>
      </c>
      <c r="K11" s="11">
        <v>1174.44</v>
      </c>
      <c r="L11" s="10">
        <v>1988.59</v>
      </c>
      <c r="M11" s="13">
        <f t="shared" ref="M11:N11" si="9">SUM(C11+E11+G11+I11+K11)</f>
        <v>3962.43</v>
      </c>
      <c r="N11" s="14">
        <f t="shared" si="9"/>
        <v>5345.67</v>
      </c>
      <c r="O11" s="15">
        <f t="shared" si="3"/>
        <v>9308.1</v>
      </c>
    </row>
    <row r="12">
      <c r="A12" s="9">
        <v>9.0</v>
      </c>
      <c r="B12" s="10" t="s">
        <v>10</v>
      </c>
      <c r="C12" s="11">
        <v>1536.59</v>
      </c>
      <c r="D12" s="12">
        <v>2745.94</v>
      </c>
      <c r="E12" s="11">
        <v>432.94</v>
      </c>
      <c r="F12" s="12">
        <v>537.64</v>
      </c>
      <c r="G12" s="11">
        <v>609.57</v>
      </c>
      <c r="H12" s="12">
        <v>758.45</v>
      </c>
      <c r="I12" s="11">
        <v>156.28</v>
      </c>
      <c r="J12" s="12">
        <v>271.39</v>
      </c>
      <c r="K12" s="11">
        <v>1314.44</v>
      </c>
      <c r="L12" s="10">
        <v>1562.61</v>
      </c>
      <c r="M12" s="13">
        <f t="shared" ref="M12:N12" si="10">SUM(C12+E12+G12+I12+K12)</f>
        <v>4049.82</v>
      </c>
      <c r="N12" s="14">
        <f t="shared" si="10"/>
        <v>5876.03</v>
      </c>
      <c r="O12" s="15">
        <f t="shared" si="3"/>
        <v>9925.85</v>
      </c>
    </row>
    <row r="13">
      <c r="A13" s="9">
        <v>10.0</v>
      </c>
      <c r="B13" s="10" t="s">
        <v>11</v>
      </c>
      <c r="C13" s="11">
        <v>1430.55</v>
      </c>
      <c r="D13" s="12">
        <v>2573.8</v>
      </c>
      <c r="E13" s="11">
        <v>460.16</v>
      </c>
      <c r="F13" s="12">
        <v>787.89</v>
      </c>
      <c r="G13" s="11">
        <v>560.64</v>
      </c>
      <c r="H13" s="12">
        <v>714.04</v>
      </c>
      <c r="I13" s="11">
        <v>249.26</v>
      </c>
      <c r="J13" s="12">
        <v>254.89</v>
      </c>
      <c r="K13" s="11">
        <v>1560.97</v>
      </c>
      <c r="L13" s="10">
        <v>1704.66</v>
      </c>
      <c r="M13" s="13">
        <f t="shared" ref="M13:N13" si="11">SUM(C13+E13+G13+I13+K13)</f>
        <v>4261.58</v>
      </c>
      <c r="N13" s="14">
        <f t="shared" si="11"/>
        <v>6035.28</v>
      </c>
      <c r="O13" s="15">
        <f t="shared" si="3"/>
        <v>10296.86</v>
      </c>
    </row>
    <row r="14">
      <c r="A14" s="9">
        <v>11.0</v>
      </c>
      <c r="B14" s="10" t="s">
        <v>12</v>
      </c>
      <c r="C14" s="11">
        <v>1266.22</v>
      </c>
      <c r="D14" s="12">
        <v>2172.25</v>
      </c>
      <c r="E14" s="11">
        <v>340.45</v>
      </c>
      <c r="F14" s="12">
        <v>299.88</v>
      </c>
      <c r="G14" s="11">
        <v>434.67</v>
      </c>
      <c r="H14" s="12">
        <v>441.3</v>
      </c>
      <c r="I14" s="11">
        <v>87.89</v>
      </c>
      <c r="J14" s="12">
        <v>81.36</v>
      </c>
      <c r="K14" s="11">
        <v>1037.58</v>
      </c>
      <c r="L14" s="10">
        <v>1496.55</v>
      </c>
      <c r="M14" s="13">
        <f t="shared" ref="M14:N14" si="12">SUM(C14+E14+G14+I14+K14)</f>
        <v>3166.81</v>
      </c>
      <c r="N14" s="14">
        <f t="shared" si="12"/>
        <v>4491.34</v>
      </c>
      <c r="O14" s="15">
        <f t="shared" si="3"/>
        <v>7658.15</v>
      </c>
    </row>
    <row r="15">
      <c r="A15" s="9">
        <v>12.0</v>
      </c>
      <c r="B15" s="10" t="s">
        <v>13</v>
      </c>
      <c r="C15" s="11">
        <v>1086.85</v>
      </c>
      <c r="D15" s="12">
        <v>1808.75</v>
      </c>
      <c r="E15" s="11">
        <v>230.63</v>
      </c>
      <c r="F15" s="12">
        <v>356.3</v>
      </c>
      <c r="G15" s="11">
        <v>307.62</v>
      </c>
      <c r="H15" s="12">
        <v>287.28</v>
      </c>
      <c r="I15" s="11">
        <v>58.92</v>
      </c>
      <c r="J15" s="12">
        <v>178.09</v>
      </c>
      <c r="K15" s="11">
        <v>586.76</v>
      </c>
      <c r="L15" s="10">
        <v>1047.27</v>
      </c>
      <c r="M15" s="13">
        <f t="shared" ref="M15:N15" si="13">SUM(C15+E15+G15+I15+K15)</f>
        <v>2270.78</v>
      </c>
      <c r="N15" s="14">
        <f t="shared" si="13"/>
        <v>3677.69</v>
      </c>
      <c r="O15" s="15">
        <f t="shared" si="3"/>
        <v>5948.47</v>
      </c>
    </row>
    <row r="16">
      <c r="A16" s="9">
        <v>13.0</v>
      </c>
      <c r="B16" s="10" t="s">
        <v>14</v>
      </c>
      <c r="C16" s="11">
        <v>1039.3</v>
      </c>
      <c r="D16" s="12">
        <v>2712.7</v>
      </c>
      <c r="E16" s="11">
        <v>337.3</v>
      </c>
      <c r="F16" s="12">
        <v>485.09</v>
      </c>
      <c r="G16" s="11">
        <v>509.44</v>
      </c>
      <c r="H16" s="12">
        <v>455.45</v>
      </c>
      <c r="I16" s="11">
        <v>110.77</v>
      </c>
      <c r="J16" s="12">
        <v>98.75</v>
      </c>
      <c r="K16" s="11">
        <v>927.01</v>
      </c>
      <c r="L16" s="10">
        <v>1392.84</v>
      </c>
      <c r="M16" s="13">
        <f t="shared" ref="M16:N16" si="14">SUM(C16+E16+G16+I16+K16)</f>
        <v>2923.82</v>
      </c>
      <c r="N16" s="14">
        <f t="shared" si="14"/>
        <v>5144.83</v>
      </c>
      <c r="O16" s="15">
        <f t="shared" si="3"/>
        <v>8068.65</v>
      </c>
    </row>
    <row r="17">
      <c r="A17" s="9">
        <v>14.0</v>
      </c>
      <c r="B17" s="10" t="s">
        <v>15</v>
      </c>
      <c r="C17" s="11">
        <v>1003.44</v>
      </c>
      <c r="D17" s="12">
        <v>2491.4</v>
      </c>
      <c r="E17" s="11">
        <v>492.72</v>
      </c>
      <c r="F17" s="12">
        <v>605.36</v>
      </c>
      <c r="G17" s="11">
        <v>331.32</v>
      </c>
      <c r="H17" s="12">
        <v>687.07</v>
      </c>
      <c r="I17" s="11">
        <v>67.32</v>
      </c>
      <c r="J17" s="12">
        <v>127.64</v>
      </c>
      <c r="K17" s="11">
        <v>999.38</v>
      </c>
      <c r="L17" s="10">
        <v>2121.18</v>
      </c>
      <c r="M17" s="13">
        <f t="shared" ref="M17:N17" si="15">SUM(C17+E17+G17+I17+K17)</f>
        <v>2894.18</v>
      </c>
      <c r="N17" s="14">
        <f t="shared" si="15"/>
        <v>6032.65</v>
      </c>
      <c r="O17" s="15">
        <f t="shared" si="3"/>
        <v>8926.83</v>
      </c>
    </row>
    <row r="18">
      <c r="A18" s="9">
        <v>15.0</v>
      </c>
      <c r="B18" s="10" t="s">
        <v>9</v>
      </c>
      <c r="C18" s="11">
        <v>1404.94</v>
      </c>
      <c r="D18" s="12">
        <v>2832.76</v>
      </c>
      <c r="E18" s="11">
        <v>519.04</v>
      </c>
      <c r="F18" s="12">
        <v>489.8</v>
      </c>
      <c r="G18" s="11">
        <v>384.97</v>
      </c>
      <c r="H18" s="12">
        <v>706.81</v>
      </c>
      <c r="I18" s="11">
        <v>101.17</v>
      </c>
      <c r="J18" s="12">
        <v>231.88</v>
      </c>
      <c r="K18" s="11">
        <v>1579.92</v>
      </c>
      <c r="L18" s="10">
        <v>1904.73</v>
      </c>
      <c r="M18" s="24">
        <f t="shared" ref="M18:N18" si="16">SUM(C18+E18+G18+I18+K18)</f>
        <v>3990.04</v>
      </c>
      <c r="N18" s="14">
        <f t="shared" si="16"/>
        <v>6165.98</v>
      </c>
      <c r="O18" s="25">
        <f t="shared" si="3"/>
        <v>10156.02</v>
      </c>
    </row>
    <row r="19">
      <c r="A19" s="9">
        <v>16.0</v>
      </c>
      <c r="B19" s="10" t="s">
        <v>10</v>
      </c>
      <c r="C19" s="11">
        <v>999.43</v>
      </c>
      <c r="D19" s="12">
        <v>2978.92</v>
      </c>
      <c r="E19" s="11">
        <v>436.95</v>
      </c>
      <c r="F19" s="12">
        <v>588.68</v>
      </c>
      <c r="G19" s="11">
        <v>573.95</v>
      </c>
      <c r="H19" s="12">
        <v>642.78</v>
      </c>
      <c r="I19" s="11">
        <v>146.39</v>
      </c>
      <c r="J19" s="12">
        <v>160.49</v>
      </c>
      <c r="K19" s="11">
        <v>1219.46</v>
      </c>
      <c r="L19" s="10">
        <v>2072.57</v>
      </c>
      <c r="M19" s="13">
        <f t="shared" ref="M19:N19" si="17">SUM(C19+E19+G19+I19+K19)</f>
        <v>3376.18</v>
      </c>
      <c r="N19" s="14">
        <f t="shared" si="17"/>
        <v>6443.44</v>
      </c>
      <c r="O19" s="15">
        <f t="shared" si="3"/>
        <v>9819.62</v>
      </c>
    </row>
    <row r="20">
      <c r="A20" s="9">
        <v>17.0</v>
      </c>
      <c r="B20" s="10" t="s">
        <v>11</v>
      </c>
      <c r="C20" s="11">
        <v>1400.36</v>
      </c>
      <c r="D20" s="12">
        <v>2780.57</v>
      </c>
      <c r="E20" s="11">
        <v>365.81</v>
      </c>
      <c r="F20" s="12">
        <v>826.87</v>
      </c>
      <c r="G20" s="11">
        <v>456.07</v>
      </c>
      <c r="H20" s="12">
        <v>676.22</v>
      </c>
      <c r="I20" s="11">
        <v>389.69</v>
      </c>
      <c r="J20" s="12">
        <v>232.03</v>
      </c>
      <c r="K20" s="11">
        <v>1038.8</v>
      </c>
      <c r="L20" s="10">
        <v>2197.23</v>
      </c>
      <c r="M20" s="13">
        <f t="shared" ref="M20:N20" si="18">SUM(C20+E20+G20+I20+K20)</f>
        <v>3650.73</v>
      </c>
      <c r="N20" s="14">
        <f t="shared" si="18"/>
        <v>6712.92</v>
      </c>
      <c r="O20" s="15">
        <f t="shared" si="3"/>
        <v>10363.65</v>
      </c>
    </row>
    <row r="21">
      <c r="A21" s="9">
        <v>18.0</v>
      </c>
      <c r="B21" s="10" t="s">
        <v>12</v>
      </c>
      <c r="C21" s="11">
        <v>1239.75</v>
      </c>
      <c r="D21" s="12">
        <v>2437.34</v>
      </c>
      <c r="E21" s="11">
        <v>237.62</v>
      </c>
      <c r="F21" s="12">
        <v>386.23</v>
      </c>
      <c r="G21" s="11">
        <v>344.63</v>
      </c>
      <c r="H21" s="12">
        <v>511.49</v>
      </c>
      <c r="I21" s="11">
        <v>142.2</v>
      </c>
      <c r="J21" s="12">
        <v>180.56</v>
      </c>
      <c r="K21" s="11">
        <v>1191.97</v>
      </c>
      <c r="L21" s="10">
        <v>1517.21</v>
      </c>
      <c r="M21" s="13">
        <f t="shared" ref="M21:N21" si="19">SUM(C21+E21+G21+I21+K21)</f>
        <v>3156.17</v>
      </c>
      <c r="N21" s="14">
        <f t="shared" si="19"/>
        <v>5032.83</v>
      </c>
      <c r="O21" s="15">
        <f t="shared" si="3"/>
        <v>8189</v>
      </c>
    </row>
    <row r="22">
      <c r="A22" s="9">
        <v>19.0</v>
      </c>
      <c r="B22" s="10" t="s">
        <v>13</v>
      </c>
      <c r="C22" s="11">
        <v>1106.02</v>
      </c>
      <c r="D22" s="12">
        <v>2593.2</v>
      </c>
      <c r="E22" s="11">
        <v>201.92</v>
      </c>
      <c r="F22" s="12">
        <v>360.43</v>
      </c>
      <c r="G22" s="11">
        <v>243.84</v>
      </c>
      <c r="H22" s="12">
        <v>577.06</v>
      </c>
      <c r="I22" s="11">
        <v>404.02</v>
      </c>
      <c r="J22" s="12">
        <v>367.65</v>
      </c>
      <c r="K22" s="11">
        <v>734.29</v>
      </c>
      <c r="L22" s="10">
        <v>1810.81</v>
      </c>
      <c r="M22" s="13">
        <f t="shared" ref="M22:N22" si="20">SUM(C22+E22+G22+I22+K22)</f>
        <v>2690.09</v>
      </c>
      <c r="N22" s="14">
        <f t="shared" si="20"/>
        <v>5709.15</v>
      </c>
      <c r="O22" s="15">
        <f t="shared" si="3"/>
        <v>8399.24</v>
      </c>
    </row>
    <row r="23">
      <c r="A23" s="9">
        <v>20.0</v>
      </c>
      <c r="B23" s="10" t="s">
        <v>14</v>
      </c>
      <c r="C23" s="11">
        <v>1004.72</v>
      </c>
      <c r="D23" s="12">
        <v>2058.23</v>
      </c>
      <c r="E23" s="11">
        <v>314.05</v>
      </c>
      <c r="F23" s="12">
        <v>332.14</v>
      </c>
      <c r="G23" s="11">
        <v>544.84</v>
      </c>
      <c r="H23" s="12">
        <v>590.86</v>
      </c>
      <c r="J23" s="29"/>
      <c r="K23" s="11">
        <v>854.69</v>
      </c>
      <c r="L23" s="10">
        <v>2102.36</v>
      </c>
      <c r="M23" s="13">
        <f t="shared" ref="M23:N23" si="21">SUM(C23+E23+G23+I23+K23)</f>
        <v>2718.3</v>
      </c>
      <c r="N23" s="14">
        <f t="shared" si="21"/>
        <v>5083.59</v>
      </c>
      <c r="O23" s="15">
        <f t="shared" si="3"/>
        <v>7801.89</v>
      </c>
    </row>
    <row r="24">
      <c r="A24" s="9">
        <v>21.0</v>
      </c>
      <c r="B24" s="10" t="s">
        <v>15</v>
      </c>
      <c r="C24" s="11">
        <v>0.0</v>
      </c>
      <c r="D24" s="12">
        <v>0.0</v>
      </c>
      <c r="E24" s="11">
        <v>440.55</v>
      </c>
      <c r="F24" s="12">
        <v>584.54</v>
      </c>
      <c r="G24" s="11">
        <v>459.28</v>
      </c>
      <c r="H24" s="12">
        <v>737.1</v>
      </c>
      <c r="I24" s="11">
        <v>239.19</v>
      </c>
      <c r="J24" s="12">
        <v>474.0</v>
      </c>
      <c r="K24" s="11">
        <v>154.51</v>
      </c>
      <c r="L24" s="10">
        <v>353.57</v>
      </c>
      <c r="M24" s="13">
        <f t="shared" ref="M24:N24" si="22">SUM(C24+E24+G24+I24+K24)</f>
        <v>1293.53</v>
      </c>
      <c r="N24" s="14">
        <f t="shared" si="22"/>
        <v>2149.21</v>
      </c>
      <c r="O24" s="15">
        <f t="shared" si="3"/>
        <v>3442.74</v>
      </c>
    </row>
    <row r="25">
      <c r="A25" s="9">
        <v>22.0</v>
      </c>
      <c r="B25" s="10" t="s">
        <v>9</v>
      </c>
      <c r="C25" s="11">
        <v>0.0</v>
      </c>
      <c r="D25" s="12">
        <v>0.0</v>
      </c>
      <c r="E25" s="11">
        <v>257.43</v>
      </c>
      <c r="F25" s="12">
        <v>406.16</v>
      </c>
      <c r="G25" s="11">
        <v>639.87</v>
      </c>
      <c r="H25" s="12">
        <v>538.86</v>
      </c>
      <c r="I25" s="11">
        <v>338.73</v>
      </c>
      <c r="J25" s="12">
        <v>232.21</v>
      </c>
      <c r="K25" s="11">
        <v>874.62</v>
      </c>
      <c r="L25" s="10">
        <v>1584.08</v>
      </c>
      <c r="M25" s="13">
        <f t="shared" ref="M25:N25" si="23">SUM(C25+E25+G25+I25+K25)</f>
        <v>2110.65</v>
      </c>
      <c r="N25" s="14">
        <f t="shared" si="23"/>
        <v>2761.31</v>
      </c>
      <c r="O25" s="15">
        <f t="shared" si="3"/>
        <v>4871.96</v>
      </c>
    </row>
    <row r="26">
      <c r="A26" s="9">
        <v>23.0</v>
      </c>
      <c r="B26" s="10" t="s">
        <v>10</v>
      </c>
      <c r="C26" s="11">
        <v>0.0</v>
      </c>
      <c r="D26" s="12">
        <v>0.0</v>
      </c>
      <c r="E26" s="11">
        <v>329.98</v>
      </c>
      <c r="F26" s="12">
        <v>417.07</v>
      </c>
      <c r="G26" s="11">
        <v>713.87</v>
      </c>
      <c r="H26" s="12">
        <v>772.08</v>
      </c>
      <c r="I26" s="11">
        <v>443.4</v>
      </c>
      <c r="J26" s="12">
        <v>260.18</v>
      </c>
      <c r="K26" s="11">
        <v>916.17</v>
      </c>
      <c r="L26" s="10">
        <v>1273.81</v>
      </c>
      <c r="M26" s="13">
        <f t="shared" ref="M26:N26" si="24">SUM(C26+E26+G26+I26+K26)</f>
        <v>2403.42</v>
      </c>
      <c r="N26" s="14">
        <f t="shared" si="24"/>
        <v>2723.14</v>
      </c>
      <c r="O26" s="15">
        <f t="shared" si="3"/>
        <v>5126.56</v>
      </c>
    </row>
    <row r="27">
      <c r="A27" s="9">
        <v>24.0</v>
      </c>
      <c r="B27" s="10" t="s">
        <v>11</v>
      </c>
      <c r="C27" s="11">
        <v>0.0</v>
      </c>
      <c r="D27" s="12">
        <v>0.0</v>
      </c>
      <c r="E27" s="11">
        <v>382.46</v>
      </c>
      <c r="F27" s="12">
        <v>540.76</v>
      </c>
      <c r="G27" s="11">
        <v>592.68</v>
      </c>
      <c r="H27" s="12">
        <v>948.73</v>
      </c>
      <c r="I27" s="11">
        <v>522.11</v>
      </c>
      <c r="J27" s="12">
        <v>228.78</v>
      </c>
      <c r="K27" s="11">
        <v>1427.82</v>
      </c>
      <c r="L27" s="10">
        <v>2190.56</v>
      </c>
      <c r="M27" s="13">
        <f t="shared" ref="M27:N27" si="25">SUM(C27+E27+G27+I27+K27)</f>
        <v>2925.07</v>
      </c>
      <c r="N27" s="14">
        <f t="shared" si="25"/>
        <v>3908.83</v>
      </c>
      <c r="O27" s="15">
        <f t="shared" si="3"/>
        <v>6833.9</v>
      </c>
    </row>
    <row r="28">
      <c r="A28" s="9">
        <v>25.0</v>
      </c>
      <c r="B28" s="10" t="s">
        <v>12</v>
      </c>
      <c r="C28" s="11">
        <v>0.0</v>
      </c>
      <c r="D28" s="12">
        <v>0.0</v>
      </c>
      <c r="E28" s="11">
        <v>439.4</v>
      </c>
      <c r="F28" s="12">
        <v>426.04</v>
      </c>
      <c r="G28" s="11">
        <v>649.46</v>
      </c>
      <c r="H28" s="12">
        <v>662.77</v>
      </c>
      <c r="I28" s="11">
        <v>219.24</v>
      </c>
      <c r="J28" s="12">
        <v>138.35</v>
      </c>
      <c r="K28" s="11">
        <v>1267.98</v>
      </c>
      <c r="L28" s="10">
        <v>2039.73</v>
      </c>
      <c r="M28" s="13">
        <f t="shared" ref="M28:N28" si="26">SUM(C28+E28+G28+I28+K28)</f>
        <v>2576.08</v>
      </c>
      <c r="N28" s="14">
        <f t="shared" si="26"/>
        <v>3266.89</v>
      </c>
      <c r="O28" s="15">
        <f t="shared" si="3"/>
        <v>5842.97</v>
      </c>
    </row>
    <row r="29">
      <c r="A29" s="9">
        <v>26.0</v>
      </c>
      <c r="B29" s="10" t="s">
        <v>13</v>
      </c>
      <c r="C29" s="11">
        <v>0.0</v>
      </c>
      <c r="D29" s="12">
        <v>0.0</v>
      </c>
      <c r="E29" s="13">
        <v>285.49</v>
      </c>
      <c r="F29" s="14">
        <v>399.77</v>
      </c>
      <c r="G29" s="13">
        <v>410.5</v>
      </c>
      <c r="H29" s="14">
        <v>556.53</v>
      </c>
      <c r="I29" s="13">
        <v>410.84</v>
      </c>
      <c r="J29" s="14">
        <v>143.64</v>
      </c>
      <c r="K29" s="13">
        <v>707.78</v>
      </c>
      <c r="L29" s="42">
        <v>1580.1</v>
      </c>
      <c r="M29" s="13">
        <f t="shared" ref="M29:N29" si="27">SUM(C29+E29+G29+I29+K29)</f>
        <v>1814.61</v>
      </c>
      <c r="N29" s="14">
        <f t="shared" si="27"/>
        <v>2680.04</v>
      </c>
      <c r="O29" s="15">
        <f t="shared" si="3"/>
        <v>4494.65</v>
      </c>
    </row>
    <row r="30">
      <c r="A30" s="9">
        <v>27.0</v>
      </c>
      <c r="B30" s="10" t="s">
        <v>14</v>
      </c>
      <c r="C30" s="11">
        <v>0.0</v>
      </c>
      <c r="D30" s="12">
        <v>0.0</v>
      </c>
      <c r="E30" s="11">
        <v>441.35</v>
      </c>
      <c r="F30" s="12">
        <v>706.1</v>
      </c>
      <c r="G30" s="11">
        <v>533.39</v>
      </c>
      <c r="H30" s="12">
        <v>577.85</v>
      </c>
      <c r="I30" s="11">
        <v>176.98</v>
      </c>
      <c r="J30" s="12">
        <v>108.9</v>
      </c>
      <c r="K30" s="11">
        <v>1113.28</v>
      </c>
      <c r="L30" s="10">
        <v>1717.52</v>
      </c>
      <c r="M30" s="24">
        <f t="shared" ref="M30:N30" si="28">SUM(C30+E30+G30+I30+K30)</f>
        <v>2265</v>
      </c>
      <c r="N30" s="14">
        <f t="shared" si="28"/>
        <v>3110.37</v>
      </c>
      <c r="O30" s="25">
        <f t="shared" si="3"/>
        <v>5375.37</v>
      </c>
    </row>
    <row r="31">
      <c r="A31" s="9">
        <v>28.0</v>
      </c>
      <c r="B31" s="10" t="s">
        <v>15</v>
      </c>
      <c r="C31" s="11">
        <v>657.26</v>
      </c>
      <c r="D31" s="12">
        <v>1218.19</v>
      </c>
      <c r="E31" s="11">
        <v>470.21</v>
      </c>
      <c r="F31" s="12">
        <v>713.7</v>
      </c>
      <c r="G31" s="11">
        <v>383.83</v>
      </c>
      <c r="H31" s="12">
        <v>505.94</v>
      </c>
      <c r="I31" s="11">
        <v>155.76</v>
      </c>
      <c r="J31" s="12">
        <v>67.05</v>
      </c>
      <c r="K31" s="11">
        <v>932.71</v>
      </c>
      <c r="L31" s="10">
        <v>909.79</v>
      </c>
      <c r="M31" s="13">
        <f t="shared" ref="M31:N31" si="29">SUM(C31+E31+G31+I31+K31)</f>
        <v>2599.77</v>
      </c>
      <c r="N31" s="14">
        <f t="shared" si="29"/>
        <v>3414.67</v>
      </c>
      <c r="O31" s="15">
        <f t="shared" si="3"/>
        <v>6014.44</v>
      </c>
    </row>
    <row r="32">
      <c r="A32" s="9">
        <v>29.0</v>
      </c>
      <c r="B32" s="10" t="s">
        <v>9</v>
      </c>
      <c r="C32" s="11">
        <v>1067.29</v>
      </c>
      <c r="D32" s="12">
        <v>1727.28</v>
      </c>
      <c r="E32" s="11">
        <v>476.71</v>
      </c>
      <c r="F32" s="12">
        <v>395.37</v>
      </c>
      <c r="G32" s="11">
        <v>511.64</v>
      </c>
      <c r="H32" s="12">
        <v>411.2</v>
      </c>
      <c r="I32" s="11">
        <v>120.19</v>
      </c>
      <c r="J32" s="12">
        <v>125.87</v>
      </c>
      <c r="K32" s="11">
        <v>1043.77</v>
      </c>
      <c r="L32" s="10">
        <v>1635.62</v>
      </c>
      <c r="M32" s="13">
        <f t="shared" ref="M32:N32" si="30">SUM(C32+E32+G32+I32+K32)</f>
        <v>3219.6</v>
      </c>
      <c r="N32" s="14">
        <f t="shared" si="30"/>
        <v>4295.34</v>
      </c>
      <c r="O32" s="15">
        <f t="shared" si="3"/>
        <v>7514.94</v>
      </c>
    </row>
    <row r="33">
      <c r="A33" s="9">
        <v>30.0</v>
      </c>
      <c r="B33" s="10" t="s">
        <v>10</v>
      </c>
      <c r="C33" s="11">
        <v>1192.63</v>
      </c>
      <c r="D33" s="12">
        <v>2438.2</v>
      </c>
      <c r="E33" s="11">
        <v>734.68</v>
      </c>
      <c r="F33" s="12">
        <v>913.79</v>
      </c>
      <c r="G33" s="11">
        <v>346.56</v>
      </c>
      <c r="H33" s="12">
        <v>621.76</v>
      </c>
      <c r="I33" s="11">
        <v>113.07</v>
      </c>
      <c r="J33" s="12">
        <v>111.07</v>
      </c>
      <c r="K33" s="11">
        <v>764.79</v>
      </c>
      <c r="L33" s="10">
        <v>2116.73</v>
      </c>
      <c r="M33" s="13">
        <f t="shared" ref="M33:N33" si="31">SUM(C33+E33+G33+I33+K33)</f>
        <v>3151.73</v>
      </c>
      <c r="N33" s="14">
        <f t="shared" si="31"/>
        <v>6201.55</v>
      </c>
      <c r="O33" s="15">
        <f t="shared" si="3"/>
        <v>9353.28</v>
      </c>
    </row>
    <row r="34">
      <c r="A34" s="9">
        <v>31.0</v>
      </c>
      <c r="B34" s="31" t="s">
        <v>11</v>
      </c>
      <c r="C34" s="32">
        <v>1493.01</v>
      </c>
      <c r="D34" s="33">
        <v>2172.13</v>
      </c>
      <c r="E34" s="32">
        <v>552.09</v>
      </c>
      <c r="F34" s="33">
        <v>822.21</v>
      </c>
      <c r="G34" s="32">
        <v>635.82</v>
      </c>
      <c r="H34" s="33">
        <v>652.99</v>
      </c>
      <c r="I34" s="32">
        <v>147.6</v>
      </c>
      <c r="J34" s="33">
        <v>186.27</v>
      </c>
      <c r="K34" s="32">
        <v>1304.96</v>
      </c>
      <c r="L34" s="31">
        <v>1752.73</v>
      </c>
      <c r="M34" s="13">
        <f t="shared" ref="M34:N34" si="32">SUM(C34+E34+G34+I34+K34)</f>
        <v>4133.48</v>
      </c>
      <c r="N34" s="14">
        <f t="shared" si="32"/>
        <v>5586.33</v>
      </c>
      <c r="O34" s="15">
        <f t="shared" si="3"/>
        <v>9719.81</v>
      </c>
    </row>
    <row r="35" ht="32.25" customHeight="1">
      <c r="B35" s="36" t="s">
        <v>21</v>
      </c>
      <c r="C35" s="37">
        <f t="shared" ref="C35:L35" si="33">SUM(C4:C34)</f>
        <v>29505.47</v>
      </c>
      <c r="D35" s="38">
        <f t="shared" si="33"/>
        <v>57193.88</v>
      </c>
      <c r="E35" s="37">
        <f t="shared" si="33"/>
        <v>12992.43</v>
      </c>
      <c r="F35" s="38">
        <f t="shared" si="33"/>
        <v>16172.76</v>
      </c>
      <c r="G35" s="37">
        <f t="shared" si="33"/>
        <v>14995.61</v>
      </c>
      <c r="H35" s="38">
        <f t="shared" si="33"/>
        <v>18992.6</v>
      </c>
      <c r="I35" s="37">
        <f t="shared" si="33"/>
        <v>5856.79</v>
      </c>
      <c r="J35" s="38">
        <f t="shared" si="33"/>
        <v>5987.06</v>
      </c>
      <c r="K35" s="39">
        <f t="shared" si="33"/>
        <v>32005.7</v>
      </c>
      <c r="L35" s="43">
        <f t="shared" si="33"/>
        <v>51367.4</v>
      </c>
      <c r="M35" s="44">
        <f t="shared" ref="M35:N35" si="34">SUM(C35+E35+G35+I35+K35)</f>
        <v>95356</v>
      </c>
      <c r="N35" s="45">
        <f t="shared" si="34"/>
        <v>149713.7</v>
      </c>
      <c r="O35" s="40">
        <f>M35+N35</f>
        <v>245069.7</v>
      </c>
    </row>
    <row r="36">
      <c r="O36" s="15">
        <f>AVERAGE(O4:O34)</f>
        <v>7905.474194</v>
      </c>
    </row>
    <row r="37">
      <c r="B37" s="23" t="s">
        <v>22</v>
      </c>
      <c r="C37" s="15">
        <f t="shared" ref="C37:L37" si="35">AVERAGE(C4:C34)</f>
        <v>951.7893548</v>
      </c>
      <c r="D37" s="15">
        <f t="shared" si="35"/>
        <v>1844.963871</v>
      </c>
      <c r="E37" s="15">
        <f t="shared" si="35"/>
        <v>419.1106452</v>
      </c>
      <c r="F37" s="15">
        <f t="shared" si="35"/>
        <v>521.7019355</v>
      </c>
      <c r="G37" s="15">
        <f t="shared" si="35"/>
        <v>483.7293548</v>
      </c>
      <c r="H37" s="15">
        <f t="shared" si="35"/>
        <v>612.6645161</v>
      </c>
      <c r="I37" s="15">
        <f t="shared" si="35"/>
        <v>195.2263333</v>
      </c>
      <c r="J37" s="15">
        <f t="shared" si="35"/>
        <v>199.5686667</v>
      </c>
      <c r="K37" s="15">
        <f t="shared" si="35"/>
        <v>1032.441935</v>
      </c>
      <c r="L37" s="15">
        <f t="shared" si="35"/>
        <v>1657.012903</v>
      </c>
    </row>
  </sheetData>
  <mergeCells count="5">
    <mergeCell ref="C2:D2"/>
    <mergeCell ref="E2:F2"/>
    <mergeCell ref="G2:H2"/>
    <mergeCell ref="I2:J2"/>
    <mergeCell ref="K2:L2"/>
  </mergeCells>
  <conditionalFormatting sqref="E4:E34">
    <cfRule type="expression" dxfId="0" priority="1">
      <formula>E4=max($E$4:$E$34)</formula>
    </cfRule>
  </conditionalFormatting>
  <conditionalFormatting sqref="E4:E34">
    <cfRule type="expression" dxfId="1" priority="2">
      <formula>E4=min($E$4:$E$34)</formula>
    </cfRule>
  </conditionalFormatting>
  <conditionalFormatting sqref="F4:F34">
    <cfRule type="expression" dxfId="0" priority="3">
      <formula>F4=max($F$4:$F$34)</formula>
    </cfRule>
  </conditionalFormatting>
  <conditionalFormatting sqref="F4:F34">
    <cfRule type="expression" dxfId="1" priority="4">
      <formula>F4=min($F$4:$F$34)</formula>
    </cfRule>
  </conditionalFormatting>
  <conditionalFormatting sqref="G4:G34 I33:I34">
    <cfRule type="expression" dxfId="1" priority="5">
      <formula>G4=min($G$4:$G$34)</formula>
    </cfRule>
  </conditionalFormatting>
  <conditionalFormatting sqref="G4:G34 I33:I34">
    <cfRule type="expression" dxfId="0" priority="6">
      <formula>G4=max($G$4:$G$34)</formula>
    </cfRule>
  </conditionalFormatting>
  <conditionalFormatting sqref="K4:K34">
    <cfRule type="expression" dxfId="1" priority="7">
      <formula>K4=min($K$4:$K$34)</formula>
    </cfRule>
  </conditionalFormatting>
  <conditionalFormatting sqref="K4:K34">
    <cfRule type="expression" dxfId="0" priority="8">
      <formula>K4=max($K$4:$K$34)</formula>
    </cfRule>
  </conditionalFormatting>
  <conditionalFormatting sqref="L4:L34">
    <cfRule type="expression" dxfId="1" priority="9">
      <formula>L4=min($L$4:$L$34)</formula>
    </cfRule>
  </conditionalFormatting>
  <conditionalFormatting sqref="L4:L34">
    <cfRule type="expression" dxfId="0" priority="10">
      <formula>L4=max($L$4:$L$34)</formula>
    </cfRule>
  </conditionalFormatting>
  <conditionalFormatting sqref="H4:H34 J33:J34">
    <cfRule type="expression" dxfId="1" priority="11">
      <formula>H4=min($H$4:$H$34)</formula>
    </cfRule>
  </conditionalFormatting>
  <conditionalFormatting sqref="H4:H34 J33:J34">
    <cfRule type="expression" dxfId="0" priority="12">
      <formula>H4=max($H$4:$H$34)</formula>
    </cfRule>
  </conditionalFormatting>
  <conditionalFormatting sqref="I4:I33">
    <cfRule type="expression" dxfId="0" priority="13">
      <formula>I4=max($I$4:$I$34)</formula>
    </cfRule>
  </conditionalFormatting>
  <conditionalFormatting sqref="I4:I33">
    <cfRule type="expression" dxfId="1" priority="14">
      <formula>I4=min($I$4:$I$34)</formula>
    </cfRule>
  </conditionalFormatting>
  <conditionalFormatting sqref="J4:J34">
    <cfRule type="expression" dxfId="1" priority="15">
      <formula>J4=min($J$4:$J$34)</formula>
    </cfRule>
  </conditionalFormatting>
  <conditionalFormatting sqref="J4:J34">
    <cfRule type="expression" dxfId="0" priority="16">
      <formula>J4=max($J$4:$J$34)</formula>
    </cfRule>
  </conditionalFormatting>
  <conditionalFormatting sqref="M4:M34">
    <cfRule type="expression" dxfId="0" priority="17">
      <formula>M4=max($M$4:$M$34)</formula>
    </cfRule>
  </conditionalFormatting>
  <conditionalFormatting sqref="M4:M34">
    <cfRule type="expression" dxfId="1" priority="18">
      <formula>M4=mIN($M$4:$M$34)</formula>
    </cfRule>
  </conditionalFormatting>
  <conditionalFormatting sqref="N4:N34">
    <cfRule type="expression" dxfId="0" priority="19">
      <formula>N4=max($N$4:$N$34)</formula>
    </cfRule>
  </conditionalFormatting>
  <conditionalFormatting sqref="N4:N34">
    <cfRule type="expression" dxfId="1" priority="20">
      <formula>N4=mIN($N$4:$N$34)</formula>
    </cfRule>
  </conditionalFormatting>
  <conditionalFormatting sqref="C35:L35">
    <cfRule type="expression" dxfId="0" priority="21">
      <formula>C35=max($C35:$L$35)</formula>
    </cfRule>
  </conditionalFormatting>
  <conditionalFormatting sqref="C35:L35">
    <cfRule type="expression" dxfId="1" priority="22">
      <formula>C35=mIN($C$35:$L$35)</formula>
    </cfRule>
  </conditionalFormatting>
  <conditionalFormatting sqref="O4:O34">
    <cfRule type="expression" dxfId="0" priority="23">
      <formula>O4=max($O$4:$O$34)</formula>
    </cfRule>
  </conditionalFormatting>
  <conditionalFormatting sqref="O4:O34">
    <cfRule type="expression" dxfId="1" priority="24">
      <formula>O4=mIN($O$4:$O$34)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5"/>
    <col customWidth="1" min="16" max="16" width="5.13"/>
  </cols>
  <sheetData>
    <row r="1">
      <c r="B1" s="1">
        <v>45713.0</v>
      </c>
    </row>
    <row r="2">
      <c r="C2" s="2" t="s">
        <v>0</v>
      </c>
      <c r="D2" s="3"/>
      <c r="E2" s="2" t="s">
        <v>1</v>
      </c>
      <c r="F2" s="3"/>
      <c r="G2" s="2" t="s">
        <v>2</v>
      </c>
      <c r="H2" s="3"/>
      <c r="I2" s="2" t="s">
        <v>3</v>
      </c>
      <c r="J2" s="3"/>
      <c r="K2" s="2" t="s">
        <v>4</v>
      </c>
      <c r="L2" s="3"/>
    </row>
    <row r="3"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  <c r="I3" s="4" t="s">
        <v>5</v>
      </c>
      <c r="J3" s="5" t="s">
        <v>6</v>
      </c>
      <c r="K3" s="4" t="s">
        <v>5</v>
      </c>
      <c r="L3" s="5" t="s">
        <v>6</v>
      </c>
      <c r="M3" s="19" t="s">
        <v>7</v>
      </c>
      <c r="N3" s="21" t="s">
        <v>8</v>
      </c>
    </row>
    <row r="4">
      <c r="A4" s="9">
        <v>1.0</v>
      </c>
      <c r="B4" s="10" t="s">
        <v>12</v>
      </c>
      <c r="C4" s="11">
        <v>1344.05</v>
      </c>
      <c r="D4" s="12">
        <v>2742.27</v>
      </c>
      <c r="E4" s="11">
        <v>398.04</v>
      </c>
      <c r="F4" s="12">
        <v>722.47</v>
      </c>
      <c r="G4" s="11">
        <v>473.68</v>
      </c>
      <c r="H4" s="12">
        <v>572.7</v>
      </c>
      <c r="I4" s="11">
        <v>253.97</v>
      </c>
      <c r="J4" s="12">
        <v>176.87</v>
      </c>
      <c r="K4" s="11">
        <v>990.47</v>
      </c>
      <c r="L4" s="12">
        <v>2241.33</v>
      </c>
      <c r="M4" s="22">
        <f t="shared" ref="M4:N4" si="1">SUM(C4+E4+G4+I4+K4)</f>
        <v>3460.21</v>
      </c>
      <c r="N4" s="22">
        <f t="shared" si="1"/>
        <v>6455.64</v>
      </c>
      <c r="O4" s="15">
        <f t="shared" ref="O4:O31" si="3">sum(M4:N4)</f>
        <v>9915.85</v>
      </c>
    </row>
    <row r="5">
      <c r="A5" s="9">
        <v>2.0</v>
      </c>
      <c r="B5" s="10" t="s">
        <v>13</v>
      </c>
      <c r="C5" s="11">
        <v>879.23</v>
      </c>
      <c r="D5" s="12">
        <v>1755.63</v>
      </c>
      <c r="E5" s="11">
        <v>216.62</v>
      </c>
      <c r="F5" s="12">
        <v>495.11</v>
      </c>
      <c r="G5" s="11">
        <v>252.55</v>
      </c>
      <c r="H5" s="12">
        <v>343.8</v>
      </c>
      <c r="I5" s="11">
        <v>140.54</v>
      </c>
      <c r="J5" s="12">
        <v>215.18</v>
      </c>
      <c r="K5" s="11">
        <v>675.73</v>
      </c>
      <c r="L5" s="12">
        <v>1297.46</v>
      </c>
      <c r="M5" s="22">
        <f t="shared" ref="M5:N5" si="2">SUM(C5+E5+G5+I5+K5)</f>
        <v>2164.67</v>
      </c>
      <c r="N5" s="22">
        <f t="shared" si="2"/>
        <v>4107.18</v>
      </c>
      <c r="O5" s="15">
        <f t="shared" si="3"/>
        <v>6271.85</v>
      </c>
    </row>
    <row r="6">
      <c r="A6" s="9">
        <v>3.0</v>
      </c>
      <c r="B6" s="10" t="s">
        <v>14</v>
      </c>
      <c r="C6" s="11">
        <v>1241.6</v>
      </c>
      <c r="D6" s="12">
        <v>1919.89</v>
      </c>
      <c r="E6" s="11">
        <v>372.3</v>
      </c>
      <c r="F6" s="12">
        <v>863.32</v>
      </c>
      <c r="G6" s="11">
        <v>450.28</v>
      </c>
      <c r="H6" s="12">
        <v>593.59</v>
      </c>
      <c r="I6" s="11">
        <v>136.63</v>
      </c>
      <c r="J6" s="12">
        <v>253.2</v>
      </c>
      <c r="K6" s="11">
        <v>1205.98</v>
      </c>
      <c r="L6" s="12">
        <v>1965.69</v>
      </c>
      <c r="M6" s="22">
        <f t="shared" ref="M6:N6" si="4">SUM(C6+E6+G6+I6+K6)</f>
        <v>3406.79</v>
      </c>
      <c r="N6" s="22">
        <f t="shared" si="4"/>
        <v>5595.69</v>
      </c>
      <c r="O6" s="15">
        <f t="shared" si="3"/>
        <v>9002.48</v>
      </c>
    </row>
    <row r="7">
      <c r="A7" s="9">
        <v>4.0</v>
      </c>
      <c r="B7" s="10" t="s">
        <v>15</v>
      </c>
      <c r="C7" s="11">
        <v>1043.03</v>
      </c>
      <c r="D7" s="12">
        <v>2109.05</v>
      </c>
      <c r="E7" s="11">
        <v>346.43</v>
      </c>
      <c r="F7" s="12">
        <v>698.48</v>
      </c>
      <c r="G7" s="11">
        <v>449.59</v>
      </c>
      <c r="H7" s="12">
        <v>816.53</v>
      </c>
      <c r="I7" s="11">
        <v>109.34</v>
      </c>
      <c r="J7" s="12">
        <v>210.49</v>
      </c>
      <c r="K7" s="11">
        <v>838.32</v>
      </c>
      <c r="L7" s="12">
        <v>2028.22</v>
      </c>
      <c r="M7" s="22">
        <f t="shared" ref="M7:N7" si="5">SUM(C7+E7+G7+I7+K7)</f>
        <v>2786.71</v>
      </c>
      <c r="N7" s="22">
        <f t="shared" si="5"/>
        <v>5862.77</v>
      </c>
      <c r="O7" s="15">
        <f t="shared" si="3"/>
        <v>8649.48</v>
      </c>
    </row>
    <row r="8">
      <c r="A8" s="9">
        <v>5.0</v>
      </c>
      <c r="B8" s="10" t="s">
        <v>9</v>
      </c>
      <c r="C8" s="11">
        <v>1031.47</v>
      </c>
      <c r="D8" s="12">
        <v>1952.98</v>
      </c>
      <c r="E8" s="11">
        <v>374.67</v>
      </c>
      <c r="F8" s="12">
        <v>694.4</v>
      </c>
      <c r="G8" s="11">
        <v>760.22</v>
      </c>
      <c r="H8" s="12">
        <v>492.25</v>
      </c>
      <c r="I8" s="11">
        <v>117.01</v>
      </c>
      <c r="J8" s="12">
        <v>172.0</v>
      </c>
      <c r="K8" s="11">
        <v>1115.02</v>
      </c>
      <c r="L8" s="12">
        <v>2154.73</v>
      </c>
      <c r="M8" s="22">
        <f t="shared" ref="M8:N8" si="6">SUM(C8+E8+G8+I8+K8)</f>
        <v>3398.39</v>
      </c>
      <c r="N8" s="22">
        <f t="shared" si="6"/>
        <v>5466.36</v>
      </c>
      <c r="O8" s="15">
        <f t="shared" si="3"/>
        <v>8864.75</v>
      </c>
    </row>
    <row r="9">
      <c r="A9" s="9">
        <v>6.0</v>
      </c>
      <c r="B9" s="10" t="s">
        <v>10</v>
      </c>
      <c r="C9" s="11">
        <v>1474.79</v>
      </c>
      <c r="D9" s="12">
        <v>2256.6</v>
      </c>
      <c r="E9" s="11">
        <v>391.75</v>
      </c>
      <c r="F9" s="12">
        <v>679.72</v>
      </c>
      <c r="G9" s="11">
        <v>452.73</v>
      </c>
      <c r="H9" s="12">
        <v>639.22</v>
      </c>
      <c r="I9" s="11">
        <v>225.8</v>
      </c>
      <c r="J9" s="12">
        <v>161.23</v>
      </c>
      <c r="K9" s="11">
        <v>1178.49</v>
      </c>
      <c r="L9" s="12">
        <v>1554.23</v>
      </c>
      <c r="M9" s="22">
        <f t="shared" ref="M9:N9" si="7">SUM(C9+E9+G9+I9+K9)</f>
        <v>3723.56</v>
      </c>
      <c r="N9" s="22">
        <f t="shared" si="7"/>
        <v>5291</v>
      </c>
      <c r="O9" s="15">
        <f t="shared" si="3"/>
        <v>9014.56</v>
      </c>
    </row>
    <row r="10">
      <c r="A10" s="9">
        <v>7.0</v>
      </c>
      <c r="B10" s="10" t="s">
        <v>11</v>
      </c>
      <c r="C10" s="11">
        <v>1380.2</v>
      </c>
      <c r="D10" s="12">
        <v>2326.13</v>
      </c>
      <c r="E10" s="11">
        <v>476.91</v>
      </c>
      <c r="F10" s="12">
        <v>741.03</v>
      </c>
      <c r="G10" s="11">
        <v>405.48</v>
      </c>
      <c r="H10" s="12">
        <v>597.92</v>
      </c>
      <c r="I10" s="11">
        <v>233.86</v>
      </c>
      <c r="J10" s="12">
        <v>150.46</v>
      </c>
      <c r="K10" s="11">
        <v>1048.78</v>
      </c>
      <c r="L10" s="12">
        <v>1969.65</v>
      </c>
      <c r="M10" s="22">
        <f t="shared" ref="M10:N10" si="8">SUM(C10+E10+G10+I10+K10)</f>
        <v>3545.23</v>
      </c>
      <c r="N10" s="22">
        <f t="shared" si="8"/>
        <v>5785.19</v>
      </c>
      <c r="O10" s="15">
        <f t="shared" si="3"/>
        <v>9330.42</v>
      </c>
    </row>
    <row r="11">
      <c r="A11" s="9">
        <v>8.0</v>
      </c>
      <c r="B11" s="10" t="s">
        <v>12</v>
      </c>
      <c r="C11" s="11">
        <v>1418.49</v>
      </c>
      <c r="D11" s="12">
        <v>2257.96</v>
      </c>
      <c r="E11" s="11">
        <v>451.76</v>
      </c>
      <c r="F11" s="12">
        <v>471.45</v>
      </c>
      <c r="G11" s="11">
        <v>432.52</v>
      </c>
      <c r="H11" s="12">
        <v>803.7</v>
      </c>
      <c r="I11" s="11">
        <v>160.78</v>
      </c>
      <c r="J11" s="12">
        <v>189.52</v>
      </c>
      <c r="K11" s="11">
        <v>1007.54</v>
      </c>
      <c r="L11" s="12">
        <v>2085.84</v>
      </c>
      <c r="M11" s="22">
        <f t="shared" ref="M11:N11" si="9">SUM(C11+E11+G11+I11+K11)</f>
        <v>3471.09</v>
      </c>
      <c r="N11" s="22">
        <f t="shared" si="9"/>
        <v>5808.47</v>
      </c>
      <c r="O11" s="15">
        <f t="shared" si="3"/>
        <v>9279.56</v>
      </c>
    </row>
    <row r="12">
      <c r="A12" s="9">
        <v>9.0</v>
      </c>
      <c r="B12" s="10" t="s">
        <v>13</v>
      </c>
      <c r="C12" s="11">
        <v>1167.07</v>
      </c>
      <c r="D12" s="12">
        <v>1808.91</v>
      </c>
      <c r="E12" s="11">
        <v>488.67</v>
      </c>
      <c r="F12" s="12">
        <v>672.14</v>
      </c>
      <c r="G12" s="11">
        <v>418.87</v>
      </c>
      <c r="H12" s="12">
        <v>535.29</v>
      </c>
      <c r="I12" s="11">
        <v>242.79</v>
      </c>
      <c r="J12" s="12">
        <v>90.02</v>
      </c>
      <c r="K12" s="11">
        <v>665.64</v>
      </c>
      <c r="L12" s="12">
        <v>1377.72</v>
      </c>
      <c r="M12" s="22">
        <f t="shared" ref="M12:N12" si="10">SUM(C12+E12+G12+I12+K12)</f>
        <v>2983.04</v>
      </c>
      <c r="N12" s="22">
        <f t="shared" si="10"/>
        <v>4484.08</v>
      </c>
      <c r="O12" s="15">
        <f t="shared" si="3"/>
        <v>7467.12</v>
      </c>
    </row>
    <row r="13">
      <c r="A13" s="9">
        <v>10.0</v>
      </c>
      <c r="B13" s="10" t="s">
        <v>14</v>
      </c>
      <c r="C13" s="11">
        <v>1216.39</v>
      </c>
      <c r="D13" s="12">
        <v>2107.18</v>
      </c>
      <c r="E13" s="11">
        <v>348.33</v>
      </c>
      <c r="F13" s="12">
        <v>690.8</v>
      </c>
      <c r="G13" s="11">
        <v>461.21</v>
      </c>
      <c r="H13" s="12">
        <v>384.81</v>
      </c>
      <c r="I13" s="11">
        <v>202.93</v>
      </c>
      <c r="J13" s="12">
        <v>243.24</v>
      </c>
      <c r="K13" s="11">
        <v>962.34</v>
      </c>
      <c r="L13" s="12">
        <v>1660.53</v>
      </c>
      <c r="M13" s="22">
        <f t="shared" ref="M13:N13" si="11">SUM(C13+E13+G13+I13+K13)</f>
        <v>3191.2</v>
      </c>
      <c r="N13" s="22">
        <f t="shared" si="11"/>
        <v>5086.56</v>
      </c>
      <c r="O13" s="15">
        <f t="shared" si="3"/>
        <v>8277.76</v>
      </c>
    </row>
    <row r="14">
      <c r="A14" s="9">
        <v>11.0</v>
      </c>
      <c r="B14" s="10" t="s">
        <v>15</v>
      </c>
      <c r="C14" s="11">
        <v>1211.82</v>
      </c>
      <c r="D14" s="12">
        <v>1762.02</v>
      </c>
      <c r="E14" s="11">
        <v>410.62</v>
      </c>
      <c r="F14" s="12">
        <v>712.44</v>
      </c>
      <c r="G14" s="11">
        <v>548.68</v>
      </c>
      <c r="H14" s="12">
        <v>366.82</v>
      </c>
      <c r="I14" s="11">
        <v>155.55</v>
      </c>
      <c r="J14" s="12">
        <v>235.77</v>
      </c>
      <c r="K14" s="11">
        <v>800.67</v>
      </c>
      <c r="L14" s="12">
        <v>1507.63</v>
      </c>
      <c r="M14" s="22">
        <f t="shared" ref="M14:N14" si="12">SUM(C14+E14+G14+I14+K14)</f>
        <v>3127.34</v>
      </c>
      <c r="N14" s="22">
        <f t="shared" si="12"/>
        <v>4584.68</v>
      </c>
      <c r="O14" s="15">
        <f t="shared" si="3"/>
        <v>7712.02</v>
      </c>
    </row>
    <row r="15">
      <c r="A15" s="9">
        <v>12.0</v>
      </c>
      <c r="B15" s="10" t="s">
        <v>9</v>
      </c>
      <c r="C15" s="11">
        <v>1005.61</v>
      </c>
      <c r="D15" s="12">
        <v>2718.93</v>
      </c>
      <c r="E15" s="11">
        <v>493.84</v>
      </c>
      <c r="F15" s="12">
        <v>684.15</v>
      </c>
      <c r="G15" s="11">
        <v>393.25</v>
      </c>
      <c r="H15" s="12">
        <v>551.55</v>
      </c>
      <c r="I15" s="11">
        <v>305.52</v>
      </c>
      <c r="J15" s="12">
        <v>256.44</v>
      </c>
      <c r="K15" s="11">
        <v>816.37</v>
      </c>
      <c r="L15" s="12">
        <v>508.46</v>
      </c>
      <c r="M15" s="22">
        <f t="shared" ref="M15:N15" si="13">SUM(C15+E15+G15+I15+K15)</f>
        <v>3014.59</v>
      </c>
      <c r="N15" s="22">
        <f t="shared" si="13"/>
        <v>4719.53</v>
      </c>
      <c r="O15" s="15">
        <f t="shared" si="3"/>
        <v>7734.12</v>
      </c>
    </row>
    <row r="16">
      <c r="A16" s="9">
        <v>13.0</v>
      </c>
      <c r="B16" s="10" t="s">
        <v>10</v>
      </c>
      <c r="C16" s="11">
        <v>1221.86</v>
      </c>
      <c r="D16" s="12">
        <v>2238.9</v>
      </c>
      <c r="E16" s="11">
        <v>522.89</v>
      </c>
      <c r="F16" s="12">
        <v>638.07</v>
      </c>
      <c r="G16" s="11">
        <v>395.88</v>
      </c>
      <c r="H16" s="12">
        <v>697.44</v>
      </c>
      <c r="I16" s="11">
        <v>279.22</v>
      </c>
      <c r="J16" s="12">
        <v>230.58</v>
      </c>
      <c r="K16" s="11">
        <v>1161.82</v>
      </c>
      <c r="L16" s="12">
        <v>889.79</v>
      </c>
      <c r="M16" s="22">
        <f t="shared" ref="M16:N16" si="14">SUM(C16+E16+G16+I16+K16)</f>
        <v>3581.67</v>
      </c>
      <c r="N16" s="22">
        <f t="shared" si="14"/>
        <v>4694.78</v>
      </c>
      <c r="O16" s="15">
        <f t="shared" si="3"/>
        <v>8276.45</v>
      </c>
    </row>
    <row r="17">
      <c r="A17" s="9">
        <v>14.0</v>
      </c>
      <c r="B17" s="10" t="s">
        <v>11</v>
      </c>
      <c r="C17" s="11">
        <v>1387.78</v>
      </c>
      <c r="D17" s="12">
        <v>2629.45</v>
      </c>
      <c r="E17" s="11">
        <v>554.58</v>
      </c>
      <c r="F17" s="12">
        <v>588.14</v>
      </c>
      <c r="G17" s="11">
        <v>172.52</v>
      </c>
      <c r="H17" s="12">
        <v>588.88</v>
      </c>
      <c r="I17" s="11">
        <v>346.68</v>
      </c>
      <c r="J17" s="12">
        <v>242.64</v>
      </c>
      <c r="K17" s="11">
        <v>1049.99</v>
      </c>
      <c r="L17" s="12">
        <v>1889.39</v>
      </c>
      <c r="M17" s="22">
        <f t="shared" ref="M17:N17" si="15">SUM(C17+E17+G17+I17+K17)</f>
        <v>3511.55</v>
      </c>
      <c r="N17" s="22">
        <f t="shared" si="15"/>
        <v>5938.5</v>
      </c>
      <c r="O17" s="15">
        <f t="shared" si="3"/>
        <v>9450.05</v>
      </c>
    </row>
    <row r="18">
      <c r="A18" s="9">
        <v>15.0</v>
      </c>
      <c r="B18" s="10" t="s">
        <v>12</v>
      </c>
      <c r="C18" s="11">
        <v>1241.6</v>
      </c>
      <c r="D18" s="12">
        <v>1975.34</v>
      </c>
      <c r="E18" s="11">
        <v>425.99</v>
      </c>
      <c r="F18" s="12">
        <v>497.53</v>
      </c>
      <c r="G18" s="11">
        <v>536.66</v>
      </c>
      <c r="H18" s="12">
        <v>575.2</v>
      </c>
      <c r="I18" s="11">
        <v>170.91</v>
      </c>
      <c r="J18" s="12">
        <v>93.0</v>
      </c>
      <c r="K18" s="11">
        <v>904.43</v>
      </c>
      <c r="L18" s="12">
        <v>1354.66</v>
      </c>
      <c r="M18" s="22">
        <f t="shared" ref="M18:N18" si="16">SUM(C18+E18+G18+I18+K18)</f>
        <v>3279.59</v>
      </c>
      <c r="N18" s="22">
        <f t="shared" si="16"/>
        <v>4495.73</v>
      </c>
      <c r="O18" s="15">
        <f t="shared" si="3"/>
        <v>7775.32</v>
      </c>
    </row>
    <row r="19">
      <c r="A19" s="9">
        <v>16.0</v>
      </c>
      <c r="B19" s="10" t="s">
        <v>13</v>
      </c>
      <c r="C19" s="11">
        <v>1116.15</v>
      </c>
      <c r="D19" s="12">
        <v>2186.07</v>
      </c>
      <c r="E19" s="11">
        <v>402.9</v>
      </c>
      <c r="F19" s="12">
        <v>500.47</v>
      </c>
      <c r="G19" s="11">
        <v>266.58</v>
      </c>
      <c r="H19" s="12">
        <v>345.29</v>
      </c>
      <c r="I19" s="11">
        <v>219.11</v>
      </c>
      <c r="J19" s="12">
        <v>247.39</v>
      </c>
      <c r="K19" s="11">
        <v>797.54</v>
      </c>
      <c r="L19" s="12">
        <v>1004.56</v>
      </c>
      <c r="M19" s="22">
        <f t="shared" ref="M19:N19" si="17">SUM(C19+E19+G19+I19+K19)</f>
        <v>2802.28</v>
      </c>
      <c r="N19" s="22">
        <f t="shared" si="17"/>
        <v>4283.78</v>
      </c>
      <c r="O19" s="15">
        <f t="shared" si="3"/>
        <v>7086.06</v>
      </c>
    </row>
    <row r="20">
      <c r="A20" s="9">
        <v>17.0</v>
      </c>
      <c r="B20" s="10" t="s">
        <v>14</v>
      </c>
      <c r="C20" s="11">
        <v>1433.87</v>
      </c>
      <c r="D20" s="12">
        <v>2423.3</v>
      </c>
      <c r="E20" s="11">
        <v>545.55</v>
      </c>
      <c r="F20" s="12">
        <v>555.58</v>
      </c>
      <c r="G20" s="11">
        <v>488.37</v>
      </c>
      <c r="H20" s="12">
        <v>677.96</v>
      </c>
      <c r="I20" s="11">
        <v>228.49</v>
      </c>
      <c r="J20" s="12">
        <v>161.88</v>
      </c>
      <c r="K20" s="11">
        <v>795.26</v>
      </c>
      <c r="L20" s="12">
        <v>1938.14</v>
      </c>
      <c r="M20" s="22">
        <f t="shared" ref="M20:N20" si="18">SUM(C20+E20+G20+I20+K20)</f>
        <v>3491.54</v>
      </c>
      <c r="N20" s="22">
        <f t="shared" si="18"/>
        <v>5756.86</v>
      </c>
      <c r="O20" s="15">
        <f t="shared" si="3"/>
        <v>9248.4</v>
      </c>
    </row>
    <row r="21">
      <c r="A21" s="9">
        <v>18.0</v>
      </c>
      <c r="B21" s="10" t="s">
        <v>15</v>
      </c>
      <c r="C21" s="11">
        <v>1223.27</v>
      </c>
      <c r="D21" s="12">
        <v>2024.2</v>
      </c>
      <c r="E21" s="11">
        <v>399.6</v>
      </c>
      <c r="F21" s="12">
        <v>638.4</v>
      </c>
      <c r="G21" s="11">
        <v>418.53</v>
      </c>
      <c r="H21" s="12">
        <v>557.96</v>
      </c>
      <c r="I21" s="11">
        <v>273.48</v>
      </c>
      <c r="J21" s="12">
        <v>241.8</v>
      </c>
      <c r="K21" s="11">
        <v>914.84</v>
      </c>
      <c r="L21" s="12">
        <v>1635.05</v>
      </c>
      <c r="M21" s="22">
        <f t="shared" ref="M21:N21" si="19">SUM(C21+E21+G21+I21+K21)</f>
        <v>3229.72</v>
      </c>
      <c r="N21" s="22">
        <f t="shared" si="19"/>
        <v>5097.41</v>
      </c>
      <c r="O21" s="15">
        <f t="shared" si="3"/>
        <v>8327.13</v>
      </c>
    </row>
    <row r="22">
      <c r="A22" s="9">
        <v>19.0</v>
      </c>
      <c r="B22" s="10" t="s">
        <v>9</v>
      </c>
      <c r="C22" s="11">
        <v>1138.45</v>
      </c>
      <c r="D22" s="12">
        <v>2415.04</v>
      </c>
      <c r="E22" s="11">
        <v>595.98</v>
      </c>
      <c r="F22" s="12">
        <v>624.53</v>
      </c>
      <c r="G22" s="11">
        <v>623.67</v>
      </c>
      <c r="H22" s="12">
        <v>430.81</v>
      </c>
      <c r="I22" s="11">
        <v>223.94</v>
      </c>
      <c r="J22" s="12">
        <v>126.64</v>
      </c>
      <c r="K22" s="11">
        <v>1061.79</v>
      </c>
      <c r="L22" s="12">
        <v>1601.62</v>
      </c>
      <c r="M22" s="22">
        <f t="shared" ref="M22:N22" si="20">SUM(C22+E22+G22+I22+K22)</f>
        <v>3643.83</v>
      </c>
      <c r="N22" s="22">
        <f t="shared" si="20"/>
        <v>5198.64</v>
      </c>
      <c r="O22" s="15">
        <f t="shared" si="3"/>
        <v>8842.47</v>
      </c>
    </row>
    <row r="23">
      <c r="A23" s="9">
        <v>20.0</v>
      </c>
      <c r="B23" s="10" t="s">
        <v>10</v>
      </c>
      <c r="C23" s="11">
        <v>1461.61</v>
      </c>
      <c r="D23" s="12">
        <v>2734.71</v>
      </c>
      <c r="E23" s="11">
        <v>422.43</v>
      </c>
      <c r="F23" s="12">
        <v>440.85</v>
      </c>
      <c r="G23" s="11">
        <v>467.01</v>
      </c>
      <c r="H23" s="12">
        <v>588.87</v>
      </c>
      <c r="I23" s="23">
        <v>321.69</v>
      </c>
      <c r="J23" s="12">
        <v>147.16</v>
      </c>
      <c r="K23" s="11">
        <v>883.94</v>
      </c>
      <c r="L23" s="12">
        <v>1703.76</v>
      </c>
      <c r="M23" s="22">
        <f t="shared" ref="M23:N23" si="21">SUM(C23+E23+G23+I23+K23)</f>
        <v>3556.68</v>
      </c>
      <c r="N23" s="22">
        <f t="shared" si="21"/>
        <v>5615.35</v>
      </c>
      <c r="O23" s="15">
        <f t="shared" si="3"/>
        <v>9172.03</v>
      </c>
    </row>
    <row r="24">
      <c r="A24" s="9">
        <v>21.0</v>
      </c>
      <c r="B24" s="10" t="s">
        <v>11</v>
      </c>
      <c r="C24" s="11">
        <v>1394.82</v>
      </c>
      <c r="D24" s="12">
        <v>1940.72</v>
      </c>
      <c r="E24" s="11">
        <v>427.93</v>
      </c>
      <c r="F24" s="12">
        <v>550.27</v>
      </c>
      <c r="G24" s="11">
        <v>521.29</v>
      </c>
      <c r="H24" s="12">
        <v>638.08</v>
      </c>
      <c r="I24" s="11">
        <v>301.44</v>
      </c>
      <c r="J24" s="12">
        <v>103.14</v>
      </c>
      <c r="K24" s="11">
        <v>790.67</v>
      </c>
      <c r="L24" s="12">
        <v>1834.19</v>
      </c>
      <c r="M24" s="22">
        <f t="shared" ref="M24:N24" si="22">SUM(C24+E24+G24+I24+K24)</f>
        <v>3436.15</v>
      </c>
      <c r="N24" s="22">
        <f t="shared" si="22"/>
        <v>5066.4</v>
      </c>
      <c r="O24" s="15">
        <f t="shared" si="3"/>
        <v>8502.55</v>
      </c>
    </row>
    <row r="25">
      <c r="A25" s="9">
        <v>22.0</v>
      </c>
      <c r="B25" s="10" t="s">
        <v>12</v>
      </c>
      <c r="C25" s="11">
        <v>1483.18</v>
      </c>
      <c r="D25" s="12">
        <v>2229.0</v>
      </c>
      <c r="E25" s="11">
        <v>317.69</v>
      </c>
      <c r="F25" s="12">
        <v>596.95</v>
      </c>
      <c r="G25" s="11">
        <v>515.65</v>
      </c>
      <c r="H25" s="12">
        <v>697.54</v>
      </c>
      <c r="I25" s="11">
        <v>224.65</v>
      </c>
      <c r="J25" s="12">
        <v>185.78</v>
      </c>
      <c r="K25" s="11">
        <v>1070.13</v>
      </c>
      <c r="L25" s="12">
        <v>2028.67</v>
      </c>
      <c r="M25" s="22">
        <f t="shared" ref="M25:N25" si="23">SUM(C25+E25+G25+I25+K25)</f>
        <v>3611.3</v>
      </c>
      <c r="N25" s="22">
        <f t="shared" si="23"/>
        <v>5737.94</v>
      </c>
      <c r="O25" s="15">
        <f t="shared" si="3"/>
        <v>9349.24</v>
      </c>
    </row>
    <row r="26">
      <c r="A26" s="9">
        <v>23.0</v>
      </c>
      <c r="B26" s="10" t="s">
        <v>13</v>
      </c>
      <c r="C26" s="11">
        <v>1024.63</v>
      </c>
      <c r="D26" s="12">
        <v>1939.43</v>
      </c>
      <c r="E26" s="11">
        <v>507.71</v>
      </c>
      <c r="F26" s="12">
        <v>596.39</v>
      </c>
      <c r="G26" s="11">
        <v>317.09</v>
      </c>
      <c r="H26" s="12">
        <v>523.74</v>
      </c>
      <c r="I26" s="11">
        <v>341.82</v>
      </c>
      <c r="J26" s="12">
        <v>111.82</v>
      </c>
      <c r="K26" s="11">
        <v>665.85</v>
      </c>
      <c r="L26" s="12">
        <v>1283.55</v>
      </c>
      <c r="M26" s="22">
        <f t="shared" ref="M26:N26" si="24">SUM(C26+E26+G26+I26+K26)</f>
        <v>2857.1</v>
      </c>
      <c r="N26" s="22">
        <f t="shared" si="24"/>
        <v>4454.93</v>
      </c>
      <c r="O26" s="15">
        <f t="shared" si="3"/>
        <v>7312.03</v>
      </c>
    </row>
    <row r="27">
      <c r="A27" s="9">
        <v>24.0</v>
      </c>
      <c r="B27" s="10" t="s">
        <v>14</v>
      </c>
      <c r="C27" s="11">
        <v>1465.11</v>
      </c>
      <c r="D27" s="12">
        <v>1821.79</v>
      </c>
      <c r="E27" s="11">
        <v>444.83</v>
      </c>
      <c r="F27" s="12">
        <v>543.38</v>
      </c>
      <c r="G27" s="11">
        <v>466.72</v>
      </c>
      <c r="H27" s="12">
        <v>397.66</v>
      </c>
      <c r="I27" s="11">
        <v>255.59</v>
      </c>
      <c r="J27" s="12">
        <v>185.56</v>
      </c>
      <c r="K27" s="11">
        <v>894.3</v>
      </c>
      <c r="L27" s="12">
        <v>1450.58</v>
      </c>
      <c r="M27" s="22">
        <f t="shared" ref="M27:N27" si="25">SUM(C27+E27+G27+I27+K27)</f>
        <v>3526.55</v>
      </c>
      <c r="N27" s="22">
        <f t="shared" si="25"/>
        <v>4398.97</v>
      </c>
      <c r="O27" s="15">
        <f t="shared" si="3"/>
        <v>7925.52</v>
      </c>
    </row>
    <row r="28">
      <c r="A28" s="9">
        <v>25.0</v>
      </c>
      <c r="B28" s="10" t="s">
        <v>15</v>
      </c>
      <c r="C28" s="11">
        <v>910.93</v>
      </c>
      <c r="D28" s="12">
        <v>1977.02</v>
      </c>
      <c r="E28" s="11">
        <v>428.66</v>
      </c>
      <c r="F28" s="12">
        <v>505.93</v>
      </c>
      <c r="G28" s="11">
        <v>348.08</v>
      </c>
      <c r="H28" s="12">
        <v>469.15</v>
      </c>
      <c r="I28" s="11">
        <v>233.12</v>
      </c>
      <c r="J28" s="12">
        <v>303.8</v>
      </c>
      <c r="K28" s="11">
        <v>980.73</v>
      </c>
      <c r="L28" s="12">
        <v>1578.51</v>
      </c>
      <c r="M28" s="22">
        <f t="shared" ref="M28:N28" si="26">SUM(C28+E28+G28+I28+K28)</f>
        <v>2901.52</v>
      </c>
      <c r="N28" s="22">
        <f t="shared" si="26"/>
        <v>4834.41</v>
      </c>
      <c r="O28" s="15">
        <f t="shared" si="3"/>
        <v>7735.93</v>
      </c>
    </row>
    <row r="29">
      <c r="A29" s="9">
        <v>26.0</v>
      </c>
      <c r="B29" s="10" t="s">
        <v>9</v>
      </c>
      <c r="C29" s="11">
        <v>1385.66</v>
      </c>
      <c r="D29" s="12">
        <v>2158.28</v>
      </c>
      <c r="E29" s="27">
        <v>404.24</v>
      </c>
      <c r="F29" s="28">
        <v>405.47</v>
      </c>
      <c r="G29" s="27">
        <v>462.34</v>
      </c>
      <c r="H29" s="28">
        <v>731.59</v>
      </c>
      <c r="I29" s="27">
        <v>269.75</v>
      </c>
      <c r="J29" s="28">
        <v>161.22</v>
      </c>
      <c r="K29" s="27">
        <v>826.02</v>
      </c>
      <c r="L29" s="28">
        <v>914.17</v>
      </c>
      <c r="M29" s="22">
        <f t="shared" ref="M29:N29" si="27">SUM(C29+E29+G29+I29+K29)</f>
        <v>3348.01</v>
      </c>
      <c r="N29" s="22">
        <f t="shared" si="27"/>
        <v>4370.73</v>
      </c>
      <c r="O29" s="15">
        <f t="shared" si="3"/>
        <v>7718.74</v>
      </c>
    </row>
    <row r="30">
      <c r="A30" s="9">
        <v>27.0</v>
      </c>
      <c r="B30" s="10" t="s">
        <v>10</v>
      </c>
      <c r="C30" s="11">
        <v>1466.73</v>
      </c>
      <c r="D30" s="12">
        <v>1842.24</v>
      </c>
      <c r="E30" s="11">
        <v>563.55</v>
      </c>
      <c r="F30" s="12">
        <v>1079.16</v>
      </c>
      <c r="G30" s="11">
        <v>362.37</v>
      </c>
      <c r="H30" s="12">
        <v>789.9</v>
      </c>
      <c r="I30" s="11">
        <v>170.79</v>
      </c>
      <c r="J30" s="12">
        <v>113.57</v>
      </c>
      <c r="K30" s="11">
        <v>1002.15</v>
      </c>
      <c r="L30" s="12">
        <v>1927.34</v>
      </c>
      <c r="M30" s="22">
        <f t="shared" ref="M30:N30" si="28">SUM(C30+E30+G30+I30+K30)</f>
        <v>3565.59</v>
      </c>
      <c r="N30" s="22">
        <f t="shared" si="28"/>
        <v>5752.21</v>
      </c>
      <c r="O30" s="15">
        <f t="shared" si="3"/>
        <v>9317.8</v>
      </c>
    </row>
    <row r="31">
      <c r="A31" s="9">
        <v>28.0</v>
      </c>
      <c r="B31" s="31" t="s">
        <v>11</v>
      </c>
      <c r="C31" s="11">
        <v>1343.93</v>
      </c>
      <c r="D31" s="12">
        <v>2155.55</v>
      </c>
      <c r="E31" s="11">
        <v>619.49</v>
      </c>
      <c r="F31" s="12">
        <v>626.4</v>
      </c>
      <c r="G31" s="11">
        <v>557.55</v>
      </c>
      <c r="H31" s="12">
        <v>705.93</v>
      </c>
      <c r="I31" s="11">
        <v>308.71</v>
      </c>
      <c r="J31" s="12">
        <v>298.07</v>
      </c>
      <c r="K31" s="11">
        <v>1377.68</v>
      </c>
      <c r="L31" s="12">
        <v>2228.24</v>
      </c>
      <c r="M31" s="22">
        <f t="shared" ref="M31:N31" si="29">SUM(C31+E31+G31+I31+K31)</f>
        <v>4207.36</v>
      </c>
      <c r="N31" s="22">
        <f t="shared" si="29"/>
        <v>6014.19</v>
      </c>
      <c r="O31" s="15">
        <f t="shared" si="3"/>
        <v>10221.55</v>
      </c>
    </row>
    <row r="32" ht="32.25" customHeight="1">
      <c r="B32" s="36" t="s">
        <v>21</v>
      </c>
      <c r="C32" s="37">
        <f t="shared" ref="C32:L32" si="30">SUM(C4:C31)</f>
        <v>35113.33</v>
      </c>
      <c r="D32" s="38">
        <f t="shared" si="30"/>
        <v>60408.59</v>
      </c>
      <c r="E32" s="37">
        <f t="shared" si="30"/>
        <v>12353.96</v>
      </c>
      <c r="F32" s="38">
        <f t="shared" si="30"/>
        <v>17513.03</v>
      </c>
      <c r="G32" s="37">
        <f t="shared" si="30"/>
        <v>12419.37</v>
      </c>
      <c r="H32" s="38">
        <f t="shared" si="30"/>
        <v>16114.18</v>
      </c>
      <c r="I32" s="37">
        <f t="shared" si="30"/>
        <v>6454.11</v>
      </c>
      <c r="J32" s="38">
        <f t="shared" si="30"/>
        <v>5308.47</v>
      </c>
      <c r="K32" s="39">
        <f t="shared" si="30"/>
        <v>26482.49</v>
      </c>
      <c r="L32" s="38">
        <f t="shared" si="30"/>
        <v>45613.71</v>
      </c>
      <c r="M32" s="22">
        <f t="shared" ref="M32:N32" si="31">SUM(C32+E32+G32+I32+K32)</f>
        <v>92823.26</v>
      </c>
      <c r="N32" s="22">
        <f t="shared" si="31"/>
        <v>144957.98</v>
      </c>
      <c r="O32" s="40">
        <f>M32+N32</f>
        <v>237781.24</v>
      </c>
    </row>
    <row r="33">
      <c r="M33" s="15">
        <f t="shared" ref="M33:N33" si="32">sum(M4:M31)</f>
        <v>92823.26</v>
      </c>
      <c r="N33" s="15">
        <f t="shared" si="32"/>
        <v>144957.98</v>
      </c>
      <c r="O33" s="15">
        <f>AVERAGE(O4:O31)</f>
        <v>8492.187143</v>
      </c>
    </row>
    <row r="34">
      <c r="B34" s="41" t="s">
        <v>22</v>
      </c>
      <c r="C34" s="22">
        <f t="shared" ref="C34:M34" si="33">AVERAGE(C4:C31)</f>
        <v>1254.0475</v>
      </c>
      <c r="D34" s="22">
        <f t="shared" si="33"/>
        <v>2157.449643</v>
      </c>
      <c r="E34" s="22">
        <f t="shared" si="33"/>
        <v>441.2128571</v>
      </c>
      <c r="F34" s="22">
        <f t="shared" si="33"/>
        <v>625.4653571</v>
      </c>
      <c r="G34" s="22">
        <f t="shared" si="33"/>
        <v>443.5489286</v>
      </c>
      <c r="H34" s="22">
        <f t="shared" si="33"/>
        <v>575.5064286</v>
      </c>
      <c r="I34" s="22">
        <f t="shared" si="33"/>
        <v>230.5039286</v>
      </c>
      <c r="J34" s="22">
        <f t="shared" si="33"/>
        <v>189.5882143</v>
      </c>
      <c r="K34" s="22">
        <f t="shared" si="33"/>
        <v>945.8032143</v>
      </c>
      <c r="L34" s="22">
        <f t="shared" si="33"/>
        <v>1629.061071</v>
      </c>
      <c r="M34" s="22">
        <f t="shared" si="33"/>
        <v>3315.116429</v>
      </c>
    </row>
  </sheetData>
  <mergeCells count="5">
    <mergeCell ref="C2:D2"/>
    <mergeCell ref="E2:F2"/>
    <mergeCell ref="G2:H2"/>
    <mergeCell ref="I2:J2"/>
    <mergeCell ref="K2:L2"/>
  </mergeCells>
  <conditionalFormatting sqref="O4:O31">
    <cfRule type="expression" dxfId="0" priority="1">
      <formula>O4=max($O$4:$O$31)</formula>
    </cfRule>
  </conditionalFormatting>
  <conditionalFormatting sqref="O4:O31">
    <cfRule type="expression" dxfId="1" priority="2">
      <formula>O4=mIN($O$4:$O$31)</formula>
    </cfRule>
  </conditionalFormatting>
  <conditionalFormatting sqref="E4:E31">
    <cfRule type="expression" dxfId="0" priority="3">
      <formula>E4=max($E$4:$E$31)</formula>
    </cfRule>
  </conditionalFormatting>
  <conditionalFormatting sqref="E4:E31">
    <cfRule type="expression" dxfId="1" priority="4">
      <formula>E4=min($E$4:$E$31)</formula>
    </cfRule>
  </conditionalFormatting>
  <conditionalFormatting sqref="F4:F31">
    <cfRule type="expression" dxfId="0" priority="5">
      <formula>F4=max($F$4:$F$31)</formula>
    </cfRule>
  </conditionalFormatting>
  <conditionalFormatting sqref="F4:F31">
    <cfRule type="expression" dxfId="1" priority="6">
      <formula>F4=min($F$4:$F$31)</formula>
    </cfRule>
  </conditionalFormatting>
  <conditionalFormatting sqref="G4:G31">
    <cfRule type="expression" dxfId="1" priority="7">
      <formula>G4=min($G$4:$G$31)</formula>
    </cfRule>
  </conditionalFormatting>
  <conditionalFormatting sqref="G4:G31">
    <cfRule type="expression" dxfId="0" priority="8">
      <formula>G4=max($G$4:$G$31)</formula>
    </cfRule>
  </conditionalFormatting>
  <conditionalFormatting sqref="K4:K31">
    <cfRule type="expression" dxfId="1" priority="9">
      <formula>K4=min($K$4:$K$31)</formula>
    </cfRule>
  </conditionalFormatting>
  <conditionalFormatting sqref="K4:K31">
    <cfRule type="expression" dxfId="0" priority="10">
      <formula>K4=max($K$4:$K$31)</formula>
    </cfRule>
  </conditionalFormatting>
  <conditionalFormatting sqref="L4:L31">
    <cfRule type="expression" dxfId="1" priority="11">
      <formula>L4=min($L$4:$L$31)</formula>
    </cfRule>
  </conditionalFormatting>
  <conditionalFormatting sqref="L4:L31">
    <cfRule type="expression" dxfId="0" priority="12">
      <formula>L4=max($L$4:$L$31)</formula>
    </cfRule>
  </conditionalFormatting>
  <conditionalFormatting sqref="H4:H31">
    <cfRule type="expression" dxfId="1" priority="13">
      <formula>H4=min($H$4:$H$31)</formula>
    </cfRule>
  </conditionalFormatting>
  <conditionalFormatting sqref="H4:H31">
    <cfRule type="expression" dxfId="0" priority="14">
      <formula>H4=max($H$4:$H$31)</formula>
    </cfRule>
  </conditionalFormatting>
  <conditionalFormatting sqref="I4:I31">
    <cfRule type="expression" dxfId="0" priority="15">
      <formula>I4=max($I$4:$I$31)</formula>
    </cfRule>
  </conditionalFormatting>
  <conditionalFormatting sqref="I4:I31">
    <cfRule type="expression" dxfId="1" priority="16">
      <formula>I4=min($I$4:$I$31)</formula>
    </cfRule>
  </conditionalFormatting>
  <conditionalFormatting sqref="J4:J31">
    <cfRule type="expression" dxfId="1" priority="17">
      <formula>J4=min($J$4:$J$31)</formula>
    </cfRule>
  </conditionalFormatting>
  <conditionalFormatting sqref="J4:J31">
    <cfRule type="expression" dxfId="0" priority="18">
      <formula>J4=max($J$4:$J$31)</formula>
    </cfRule>
  </conditionalFormatting>
  <conditionalFormatting sqref="C4:C31">
    <cfRule type="expression" dxfId="0" priority="19">
      <formula>C4=max($C$4:$C$31)</formula>
    </cfRule>
  </conditionalFormatting>
  <conditionalFormatting sqref="C4:C31">
    <cfRule type="expression" dxfId="1" priority="20">
      <formula>C4=min($C$4:$C$31)</formula>
    </cfRule>
  </conditionalFormatting>
  <conditionalFormatting sqref="D4:D31">
    <cfRule type="expression" dxfId="0" priority="21">
      <formula>D4=max($D$4:$D$31)</formula>
    </cfRule>
  </conditionalFormatting>
  <conditionalFormatting sqref="D4:D31">
    <cfRule type="expression" dxfId="1" priority="22">
      <formula>D4=min($D$4:$D$31)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16.5"/>
    <col customWidth="1" min="16" max="16" width="5.13"/>
  </cols>
  <sheetData>
    <row r="1">
      <c r="B1" s="1">
        <v>45741.0</v>
      </c>
    </row>
    <row r="2">
      <c r="C2" s="2" t="s">
        <v>0</v>
      </c>
      <c r="D2" s="3"/>
      <c r="E2" s="2" t="s">
        <v>1</v>
      </c>
      <c r="F2" s="3"/>
      <c r="G2" s="2" t="s">
        <v>2</v>
      </c>
      <c r="H2" s="3"/>
      <c r="I2" s="2" t="s">
        <v>3</v>
      </c>
      <c r="J2" s="3"/>
      <c r="K2" s="2" t="s">
        <v>4</v>
      </c>
      <c r="L2" s="3"/>
    </row>
    <row r="3">
      <c r="C3" s="4" t="s">
        <v>5</v>
      </c>
      <c r="D3" s="5" t="s">
        <v>6</v>
      </c>
      <c r="E3" s="4" t="s">
        <v>5</v>
      </c>
      <c r="F3" s="5" t="s">
        <v>6</v>
      </c>
      <c r="G3" s="4" t="s">
        <v>5</v>
      </c>
      <c r="H3" s="5" t="s">
        <v>6</v>
      </c>
      <c r="I3" s="4" t="s">
        <v>5</v>
      </c>
      <c r="J3" s="5" t="s">
        <v>6</v>
      </c>
      <c r="K3" s="4" t="s">
        <v>5</v>
      </c>
      <c r="L3" s="5" t="s">
        <v>6</v>
      </c>
      <c r="M3" s="19" t="s">
        <v>7</v>
      </c>
      <c r="N3" s="21" t="s">
        <v>8</v>
      </c>
    </row>
    <row r="4">
      <c r="A4" s="9">
        <v>1.0</v>
      </c>
      <c r="B4" s="10" t="s">
        <v>12</v>
      </c>
      <c r="C4" s="11">
        <v>1496.32</v>
      </c>
      <c r="D4" s="12">
        <v>2253.68</v>
      </c>
      <c r="E4" s="11">
        <v>372.38</v>
      </c>
      <c r="F4" s="12">
        <v>571.28</v>
      </c>
      <c r="G4" s="11">
        <v>498.42</v>
      </c>
      <c r="H4" s="12">
        <v>522.39</v>
      </c>
      <c r="I4" s="11">
        <v>203.08</v>
      </c>
      <c r="J4" s="12">
        <v>199.92</v>
      </c>
      <c r="K4" s="11">
        <v>1073.36</v>
      </c>
      <c r="L4" s="12">
        <v>1848.1</v>
      </c>
      <c r="M4" s="22">
        <f t="shared" ref="M4:N4" si="1">SUM(C4+E4+G4+I4+K4)</f>
        <v>3643.56</v>
      </c>
      <c r="N4" s="22">
        <f t="shared" si="1"/>
        <v>5395.37</v>
      </c>
      <c r="O4" s="15">
        <f t="shared" ref="O4:O34" si="3">sum(M4:N4)</f>
        <v>9038.93</v>
      </c>
    </row>
    <row r="5">
      <c r="A5" s="9">
        <v>2.0</v>
      </c>
      <c r="B5" s="10" t="s">
        <v>13</v>
      </c>
      <c r="C5" s="11">
        <v>1202.5</v>
      </c>
      <c r="D5" s="12">
        <v>1692.5</v>
      </c>
      <c r="E5" s="11">
        <v>259.41</v>
      </c>
      <c r="F5" s="12">
        <v>554.57</v>
      </c>
      <c r="G5" s="11">
        <v>382.7</v>
      </c>
      <c r="H5" s="12">
        <v>340.84</v>
      </c>
      <c r="I5" s="11">
        <v>162.65</v>
      </c>
      <c r="J5" s="12">
        <v>139.93</v>
      </c>
      <c r="K5" s="11">
        <v>556.52</v>
      </c>
      <c r="L5" s="12">
        <v>1269.67</v>
      </c>
      <c r="M5" s="22">
        <f t="shared" ref="M5:N5" si="2">SUM(C5+E5+G5+I5+K5)</f>
        <v>2563.78</v>
      </c>
      <c r="N5" s="22">
        <f t="shared" si="2"/>
        <v>3997.51</v>
      </c>
      <c r="O5" s="15">
        <f t="shared" si="3"/>
        <v>6561.29</v>
      </c>
    </row>
    <row r="6">
      <c r="A6" s="9">
        <v>3.0</v>
      </c>
      <c r="B6" s="10" t="s">
        <v>14</v>
      </c>
      <c r="C6" s="11">
        <v>1065.15</v>
      </c>
      <c r="D6" s="12">
        <v>1829.5</v>
      </c>
      <c r="E6" s="11">
        <v>539.95</v>
      </c>
      <c r="F6" s="12">
        <v>405.97</v>
      </c>
      <c r="G6" s="11">
        <v>431.87</v>
      </c>
      <c r="H6" s="12">
        <v>417.69</v>
      </c>
      <c r="I6" s="11">
        <v>187.37</v>
      </c>
      <c r="J6" s="12">
        <v>119.3</v>
      </c>
      <c r="K6" s="11">
        <v>1012.61</v>
      </c>
      <c r="L6" s="12">
        <v>1569.78</v>
      </c>
      <c r="M6" s="22">
        <f t="shared" ref="M6:N6" si="4">SUM(C6+E6+G6+I6+K6)</f>
        <v>3236.95</v>
      </c>
      <c r="N6" s="22">
        <f t="shared" si="4"/>
        <v>4342.24</v>
      </c>
      <c r="O6" s="15">
        <f t="shared" si="3"/>
        <v>7579.19</v>
      </c>
    </row>
    <row r="7">
      <c r="A7" s="9">
        <v>4.0</v>
      </c>
      <c r="B7" s="10" t="s">
        <v>15</v>
      </c>
      <c r="C7" s="11">
        <v>1133.1</v>
      </c>
      <c r="D7" s="12">
        <v>2068.42</v>
      </c>
      <c r="E7" s="11">
        <v>588.67</v>
      </c>
      <c r="F7" s="12">
        <v>464.49</v>
      </c>
      <c r="G7" s="11">
        <v>429.79</v>
      </c>
      <c r="H7" s="12">
        <v>531.38</v>
      </c>
      <c r="I7" s="11">
        <v>267.78</v>
      </c>
      <c r="J7" s="12">
        <v>93.28</v>
      </c>
      <c r="K7" s="11">
        <v>1178.54</v>
      </c>
      <c r="L7" s="12">
        <v>1412.75</v>
      </c>
      <c r="M7" s="22">
        <f t="shared" ref="M7:N7" si="5">SUM(C7+E7+G7+I7+K7)</f>
        <v>3597.88</v>
      </c>
      <c r="N7" s="22">
        <f t="shared" si="5"/>
        <v>4570.32</v>
      </c>
      <c r="O7" s="15">
        <f t="shared" si="3"/>
        <v>8168.2</v>
      </c>
    </row>
    <row r="8">
      <c r="A8" s="9">
        <v>5.0</v>
      </c>
      <c r="B8" s="10" t="s">
        <v>9</v>
      </c>
      <c r="C8" s="11">
        <v>1269.42</v>
      </c>
      <c r="D8" s="12">
        <v>1604.63</v>
      </c>
      <c r="E8" s="11">
        <v>432.09</v>
      </c>
      <c r="F8" s="12">
        <v>921.83</v>
      </c>
      <c r="G8" s="11">
        <v>494.76</v>
      </c>
      <c r="H8" s="12">
        <v>581.44</v>
      </c>
      <c r="I8" s="11">
        <v>217.81</v>
      </c>
      <c r="J8" s="12">
        <v>68.01</v>
      </c>
      <c r="K8" s="11">
        <v>1090.31</v>
      </c>
      <c r="L8" s="12">
        <v>2108.71</v>
      </c>
      <c r="M8" s="22">
        <f t="shared" ref="M8:N8" si="6">SUM(C8+E8+G8+I8+K8)</f>
        <v>3504.39</v>
      </c>
      <c r="N8" s="22">
        <f t="shared" si="6"/>
        <v>5284.62</v>
      </c>
      <c r="O8" s="15">
        <f t="shared" si="3"/>
        <v>8789.01</v>
      </c>
    </row>
    <row r="9">
      <c r="A9" s="9">
        <v>6.0</v>
      </c>
      <c r="B9" s="10" t="s">
        <v>10</v>
      </c>
      <c r="C9" s="11">
        <v>1264.26</v>
      </c>
      <c r="D9" s="12">
        <v>2756.99</v>
      </c>
      <c r="E9" s="11">
        <v>573.15</v>
      </c>
      <c r="F9" s="12">
        <v>597.15</v>
      </c>
      <c r="G9" s="11">
        <v>450.51</v>
      </c>
      <c r="H9" s="12">
        <v>631.54</v>
      </c>
      <c r="I9" s="11">
        <v>279.83</v>
      </c>
      <c r="J9" s="12">
        <v>260.13</v>
      </c>
      <c r="K9" s="11">
        <v>1121.46</v>
      </c>
      <c r="L9" s="12">
        <v>1707.83</v>
      </c>
      <c r="M9" s="22">
        <f t="shared" ref="M9:N9" si="7">SUM(C9+E9+G9+I9+K9)</f>
        <v>3689.21</v>
      </c>
      <c r="N9" s="22">
        <f t="shared" si="7"/>
        <v>5953.64</v>
      </c>
      <c r="O9" s="15">
        <f t="shared" si="3"/>
        <v>9642.85</v>
      </c>
    </row>
    <row r="10">
      <c r="A10" s="9">
        <v>7.0</v>
      </c>
      <c r="B10" s="10" t="s">
        <v>11</v>
      </c>
      <c r="C10" s="11">
        <v>1399.74</v>
      </c>
      <c r="D10" s="12">
        <v>2591.71</v>
      </c>
      <c r="E10" s="11">
        <v>647.57</v>
      </c>
      <c r="F10" s="12">
        <v>768.1</v>
      </c>
      <c r="G10" s="11">
        <v>592.14</v>
      </c>
      <c r="H10" s="12">
        <v>799.07</v>
      </c>
      <c r="I10" s="11">
        <v>527.53</v>
      </c>
      <c r="J10" s="12">
        <v>188.15</v>
      </c>
      <c r="K10" s="11">
        <v>1286.09</v>
      </c>
      <c r="L10" s="12">
        <v>1745.47</v>
      </c>
      <c r="M10" s="22">
        <f t="shared" ref="M10:N10" si="8">SUM(C10+E10+G10+I10+K10)</f>
        <v>4453.07</v>
      </c>
      <c r="N10" s="22">
        <f t="shared" si="8"/>
        <v>6092.5</v>
      </c>
      <c r="O10" s="15">
        <f t="shared" si="3"/>
        <v>10545.57</v>
      </c>
    </row>
    <row r="11">
      <c r="A11" s="9">
        <v>8.0</v>
      </c>
      <c r="B11" s="10" t="s">
        <v>12</v>
      </c>
      <c r="C11" s="11">
        <v>1286.65</v>
      </c>
      <c r="D11" s="12">
        <v>1958.85</v>
      </c>
      <c r="E11" s="11">
        <v>296.6</v>
      </c>
      <c r="F11" s="12">
        <v>497.73</v>
      </c>
      <c r="G11" s="11">
        <v>468.35</v>
      </c>
      <c r="H11" s="12">
        <v>670.39</v>
      </c>
      <c r="I11" s="11">
        <v>555.76</v>
      </c>
      <c r="J11" s="12">
        <v>162.71</v>
      </c>
      <c r="K11" s="11">
        <v>1371.17</v>
      </c>
      <c r="L11" s="12">
        <v>1414.66</v>
      </c>
      <c r="M11" s="22">
        <f t="shared" ref="M11:N11" si="9">SUM(C11+E11+G11+I11+K11)</f>
        <v>3978.53</v>
      </c>
      <c r="N11" s="22">
        <f t="shared" si="9"/>
        <v>4704.34</v>
      </c>
      <c r="O11" s="15">
        <f t="shared" si="3"/>
        <v>8682.87</v>
      </c>
    </row>
    <row r="12">
      <c r="A12" s="9">
        <v>9.0</v>
      </c>
      <c r="B12" s="10" t="s">
        <v>13</v>
      </c>
      <c r="C12" s="11">
        <v>1281.78</v>
      </c>
      <c r="D12" s="12">
        <v>1605.83</v>
      </c>
      <c r="E12" s="11">
        <v>611.61</v>
      </c>
      <c r="F12" s="12">
        <v>617.42</v>
      </c>
      <c r="G12" s="11">
        <v>440.65</v>
      </c>
      <c r="H12" s="12">
        <v>672.75</v>
      </c>
      <c r="I12" s="11">
        <v>389.35</v>
      </c>
      <c r="J12" s="12">
        <v>246.51</v>
      </c>
      <c r="K12" s="11">
        <v>749.53</v>
      </c>
      <c r="L12" s="12">
        <v>1174.65</v>
      </c>
      <c r="M12" s="22">
        <f t="shared" ref="M12:N12" si="10">SUM(C12+E12+G12+I12+K12)</f>
        <v>3472.92</v>
      </c>
      <c r="N12" s="22">
        <f t="shared" si="10"/>
        <v>4317.16</v>
      </c>
      <c r="O12" s="15">
        <f t="shared" si="3"/>
        <v>7790.08</v>
      </c>
    </row>
    <row r="13">
      <c r="A13" s="9">
        <v>10.0</v>
      </c>
      <c r="B13" s="10" t="s">
        <v>14</v>
      </c>
      <c r="C13" s="11">
        <v>1171.33</v>
      </c>
      <c r="D13" s="12">
        <v>2110.21</v>
      </c>
      <c r="E13" s="11">
        <v>429.35</v>
      </c>
      <c r="F13" s="12">
        <v>554.43</v>
      </c>
      <c r="G13" s="11">
        <v>446.24</v>
      </c>
      <c r="H13" s="12">
        <v>579.67</v>
      </c>
      <c r="I13" s="11"/>
      <c r="J13" s="12"/>
      <c r="K13" s="11">
        <v>784.54</v>
      </c>
      <c r="L13" s="12">
        <v>1601.01</v>
      </c>
      <c r="M13" s="22">
        <f t="shared" ref="M13:N13" si="11">SUM(C13+E13+G13+I13+K13)</f>
        <v>2831.46</v>
      </c>
      <c r="N13" s="22">
        <f t="shared" si="11"/>
        <v>4845.32</v>
      </c>
      <c r="O13" s="15">
        <f t="shared" si="3"/>
        <v>7676.78</v>
      </c>
    </row>
    <row r="14">
      <c r="A14" s="9">
        <v>11.0</v>
      </c>
      <c r="B14" s="10" t="s">
        <v>15</v>
      </c>
      <c r="C14" s="11">
        <v>1067.53</v>
      </c>
      <c r="D14" s="12">
        <v>2270.33</v>
      </c>
      <c r="E14" s="11">
        <v>444.64</v>
      </c>
      <c r="F14" s="12">
        <v>691.57</v>
      </c>
      <c r="G14" s="11">
        <v>439.66</v>
      </c>
      <c r="H14" s="12">
        <v>606.56</v>
      </c>
      <c r="I14" s="11">
        <v>313.48</v>
      </c>
      <c r="J14" s="12">
        <v>145.84</v>
      </c>
      <c r="K14" s="11">
        <v>772.81</v>
      </c>
      <c r="L14" s="12">
        <v>1618.97</v>
      </c>
      <c r="M14" s="22">
        <f t="shared" ref="M14:N14" si="12">SUM(C14+E14+G14+I14+K14)</f>
        <v>3038.12</v>
      </c>
      <c r="N14" s="22">
        <f t="shared" si="12"/>
        <v>5333.27</v>
      </c>
      <c r="O14" s="15">
        <f t="shared" si="3"/>
        <v>8371.39</v>
      </c>
    </row>
    <row r="15">
      <c r="A15" s="9">
        <v>12.0</v>
      </c>
      <c r="B15" s="10" t="s">
        <v>9</v>
      </c>
      <c r="C15" s="11">
        <v>1131.69</v>
      </c>
      <c r="D15" s="12">
        <v>2265.46</v>
      </c>
      <c r="E15" s="11">
        <v>463.86</v>
      </c>
      <c r="F15" s="12">
        <v>841.84</v>
      </c>
      <c r="G15" s="11">
        <v>541.76</v>
      </c>
      <c r="H15" s="12">
        <v>602.81</v>
      </c>
      <c r="I15" s="11">
        <v>375.49</v>
      </c>
      <c r="J15" s="12">
        <v>207.16</v>
      </c>
      <c r="K15" s="11">
        <v>923.54</v>
      </c>
      <c r="L15" s="12">
        <v>1498.26</v>
      </c>
      <c r="M15" s="22">
        <f t="shared" ref="M15:N15" si="13">SUM(C15+E15+G15+I15+K15)</f>
        <v>3436.34</v>
      </c>
      <c r="N15" s="22">
        <f t="shared" si="13"/>
        <v>5415.53</v>
      </c>
      <c r="O15" s="15">
        <f t="shared" si="3"/>
        <v>8851.87</v>
      </c>
    </row>
    <row r="16">
      <c r="A16" s="9">
        <v>13.0</v>
      </c>
      <c r="B16" s="10" t="s">
        <v>10</v>
      </c>
      <c r="C16" s="11">
        <v>1222.31</v>
      </c>
      <c r="D16" s="12">
        <v>1900.62</v>
      </c>
      <c r="E16" s="11">
        <v>488.47</v>
      </c>
      <c r="F16" s="12">
        <v>789.93</v>
      </c>
      <c r="G16" s="11">
        <v>542.28</v>
      </c>
      <c r="H16" s="12">
        <v>391.97</v>
      </c>
      <c r="I16" s="11">
        <v>257.33</v>
      </c>
      <c r="J16" s="12">
        <v>36.56</v>
      </c>
      <c r="K16" s="11">
        <v>1024.45</v>
      </c>
      <c r="L16" s="12">
        <v>1351.53</v>
      </c>
      <c r="M16" s="22">
        <f t="shared" ref="M16:N16" si="14">SUM(C16+E16+G16+I16+K16)</f>
        <v>3534.84</v>
      </c>
      <c r="N16" s="22">
        <f t="shared" si="14"/>
        <v>4470.61</v>
      </c>
      <c r="O16" s="15">
        <f t="shared" si="3"/>
        <v>8005.45</v>
      </c>
    </row>
    <row r="17">
      <c r="A17" s="9">
        <v>14.0</v>
      </c>
      <c r="B17" s="10" t="s">
        <v>11</v>
      </c>
      <c r="C17" s="11">
        <v>1334.22</v>
      </c>
      <c r="D17" s="12">
        <v>2268.98</v>
      </c>
      <c r="E17" s="11">
        <v>515.9</v>
      </c>
      <c r="F17" s="12">
        <v>873.85</v>
      </c>
      <c r="G17" s="11">
        <v>452.9</v>
      </c>
      <c r="H17" s="12">
        <v>367.65</v>
      </c>
      <c r="I17" s="11">
        <v>285.65</v>
      </c>
      <c r="J17" s="12">
        <v>212.05</v>
      </c>
      <c r="K17" s="11">
        <v>917.45</v>
      </c>
      <c r="L17" s="12">
        <v>2133.81</v>
      </c>
      <c r="M17" s="22">
        <f t="shared" ref="M17:N17" si="15">SUM(C17+E17+G17+I17+K17)</f>
        <v>3506.12</v>
      </c>
      <c r="N17" s="22">
        <f t="shared" si="15"/>
        <v>5856.34</v>
      </c>
      <c r="O17" s="15">
        <f t="shared" si="3"/>
        <v>9362.46</v>
      </c>
    </row>
    <row r="18">
      <c r="A18" s="9">
        <v>15.0</v>
      </c>
      <c r="B18" s="10" t="s">
        <v>12</v>
      </c>
      <c r="C18" s="11">
        <v>1360.74</v>
      </c>
      <c r="D18" s="12">
        <v>2028.14</v>
      </c>
      <c r="E18" s="23">
        <v>509.4</v>
      </c>
      <c r="F18" s="23">
        <v>479.01</v>
      </c>
      <c r="G18" s="11">
        <v>432.81</v>
      </c>
      <c r="H18" s="12">
        <v>803.58</v>
      </c>
      <c r="I18" s="11">
        <v>306.14</v>
      </c>
      <c r="J18" s="12">
        <v>138.76</v>
      </c>
      <c r="K18" s="11">
        <v>795.81</v>
      </c>
      <c r="L18" s="12">
        <v>1563.97</v>
      </c>
      <c r="M18" s="22">
        <f t="shared" ref="M18:N18" si="16">SUM(C18+E19+G18+I18+K18)</f>
        <v>3361.15</v>
      </c>
      <c r="N18" s="22">
        <f t="shared" si="16"/>
        <v>5085.78</v>
      </c>
      <c r="O18" s="15">
        <f t="shared" si="3"/>
        <v>8446.93</v>
      </c>
    </row>
    <row r="19">
      <c r="A19" s="9">
        <v>16.0</v>
      </c>
      <c r="B19" s="10" t="s">
        <v>13</v>
      </c>
      <c r="C19" s="11">
        <v>1304.0</v>
      </c>
      <c r="D19" s="12">
        <v>1739.02</v>
      </c>
      <c r="E19" s="11">
        <v>465.65</v>
      </c>
      <c r="F19" s="12">
        <v>551.33</v>
      </c>
      <c r="G19" s="11">
        <v>421.95</v>
      </c>
      <c r="H19" s="12">
        <v>744.61</v>
      </c>
      <c r="I19" s="11">
        <v>172.67</v>
      </c>
      <c r="J19" s="12">
        <v>277.62</v>
      </c>
      <c r="K19" s="11">
        <v>732.44</v>
      </c>
      <c r="L19" s="12">
        <v>1368.77</v>
      </c>
      <c r="M19" s="22">
        <f t="shared" ref="M19:M35" si="17">SUM(C19+E19+G19+I19+K19)</f>
        <v>3096.71</v>
      </c>
      <c r="N19" s="22">
        <f>SUM(D19+E19+H19+J19+L19)</f>
        <v>4595.67</v>
      </c>
      <c r="O19" s="15">
        <f t="shared" si="3"/>
        <v>7692.38</v>
      </c>
    </row>
    <row r="20">
      <c r="A20" s="9">
        <v>17.0</v>
      </c>
      <c r="B20" s="10" t="s">
        <v>14</v>
      </c>
      <c r="C20" s="11">
        <v>1479.04</v>
      </c>
      <c r="D20" s="12">
        <v>2170.56</v>
      </c>
      <c r="E20" s="11">
        <v>531.07</v>
      </c>
      <c r="F20" s="12">
        <v>443.37</v>
      </c>
      <c r="G20" s="11">
        <v>416.68</v>
      </c>
      <c r="H20" s="12">
        <v>768.22</v>
      </c>
      <c r="I20" s="11">
        <v>346.99</v>
      </c>
      <c r="J20" s="12">
        <v>237.25</v>
      </c>
      <c r="K20" s="11">
        <v>1021.88</v>
      </c>
      <c r="L20" s="12">
        <v>1762.62</v>
      </c>
      <c r="M20" s="22">
        <f t="shared" si="17"/>
        <v>3795.66</v>
      </c>
      <c r="N20" s="22">
        <f t="shared" ref="N20:N35" si="18">SUM(D20+F20+H20+J20+L20)</f>
        <v>5382.02</v>
      </c>
      <c r="O20" s="15">
        <f t="shared" si="3"/>
        <v>9177.68</v>
      </c>
    </row>
    <row r="21">
      <c r="A21" s="9">
        <v>18.0</v>
      </c>
      <c r="B21" s="10" t="s">
        <v>15</v>
      </c>
      <c r="C21" s="11">
        <v>1444.26</v>
      </c>
      <c r="D21" s="12">
        <v>2117.06</v>
      </c>
      <c r="E21" s="11">
        <v>349.6</v>
      </c>
      <c r="F21" s="12">
        <v>632.2</v>
      </c>
      <c r="G21" s="11"/>
      <c r="H21" s="12"/>
      <c r="I21" s="11"/>
      <c r="J21" s="12"/>
      <c r="K21" s="11"/>
      <c r="L21" s="12"/>
      <c r="M21" s="22">
        <f t="shared" si="17"/>
        <v>1793.86</v>
      </c>
      <c r="N21" s="22">
        <f t="shared" si="18"/>
        <v>2749.26</v>
      </c>
      <c r="O21" s="15">
        <f t="shared" si="3"/>
        <v>4543.12</v>
      </c>
    </row>
    <row r="22">
      <c r="A22" s="9">
        <v>19.0</v>
      </c>
      <c r="B22" s="10" t="s">
        <v>9</v>
      </c>
      <c r="C22" s="11">
        <v>1209.49</v>
      </c>
      <c r="D22" s="12">
        <v>1762.06</v>
      </c>
      <c r="E22" s="11">
        <v>550.33</v>
      </c>
      <c r="F22" s="12">
        <v>912.69</v>
      </c>
      <c r="G22" s="11"/>
      <c r="H22" s="12"/>
      <c r="I22" s="11"/>
      <c r="J22" s="12"/>
      <c r="K22" s="11"/>
      <c r="L22" s="12"/>
      <c r="M22" s="22">
        <f t="shared" si="17"/>
        <v>1759.82</v>
      </c>
      <c r="N22" s="22">
        <f t="shared" si="18"/>
        <v>2674.75</v>
      </c>
      <c r="O22" s="15">
        <f t="shared" si="3"/>
        <v>4434.57</v>
      </c>
    </row>
    <row r="23">
      <c r="A23" s="9">
        <v>20.0</v>
      </c>
      <c r="B23" s="10" t="s">
        <v>10</v>
      </c>
      <c r="C23" s="11">
        <v>1578.37</v>
      </c>
      <c r="D23" s="12">
        <v>2490.41</v>
      </c>
      <c r="E23" s="11">
        <v>404.01</v>
      </c>
      <c r="F23" s="12">
        <v>831.59</v>
      </c>
      <c r="G23" s="11"/>
      <c r="H23" s="12"/>
      <c r="J23" s="12"/>
      <c r="K23" s="11"/>
      <c r="L23" s="12"/>
      <c r="M23" s="22">
        <f t="shared" si="17"/>
        <v>1982.38</v>
      </c>
      <c r="N23" s="22">
        <f t="shared" si="18"/>
        <v>3322</v>
      </c>
      <c r="O23" s="15">
        <f t="shared" si="3"/>
        <v>5304.38</v>
      </c>
    </row>
    <row r="24">
      <c r="A24" s="9">
        <v>21.0</v>
      </c>
      <c r="B24" s="10" t="s">
        <v>11</v>
      </c>
      <c r="C24" s="11">
        <v>1474.57</v>
      </c>
      <c r="D24" s="12">
        <v>2276.19</v>
      </c>
      <c r="E24" s="11">
        <v>603.87</v>
      </c>
      <c r="F24" s="12">
        <v>1032.71</v>
      </c>
      <c r="G24" s="11"/>
      <c r="H24" s="12"/>
      <c r="I24" s="11"/>
      <c r="J24" s="12"/>
      <c r="K24" s="11"/>
      <c r="L24" s="12"/>
      <c r="M24" s="22">
        <f t="shared" si="17"/>
        <v>2078.44</v>
      </c>
      <c r="N24" s="22">
        <f t="shared" si="18"/>
        <v>3308.9</v>
      </c>
      <c r="O24" s="15">
        <f t="shared" si="3"/>
        <v>5387.34</v>
      </c>
    </row>
    <row r="25">
      <c r="A25" s="9">
        <v>22.0</v>
      </c>
      <c r="B25" s="10" t="s">
        <v>12</v>
      </c>
      <c r="C25" s="11">
        <v>1353.02</v>
      </c>
      <c r="D25" s="12">
        <v>2592.11</v>
      </c>
      <c r="E25" s="11">
        <v>750.74</v>
      </c>
      <c r="F25" s="12">
        <v>967.89</v>
      </c>
      <c r="G25" s="11"/>
      <c r="H25" s="12"/>
      <c r="I25" s="11"/>
      <c r="J25" s="12"/>
      <c r="K25" s="11"/>
      <c r="L25" s="12"/>
      <c r="M25" s="22">
        <f t="shared" si="17"/>
        <v>2103.76</v>
      </c>
      <c r="N25" s="22">
        <f t="shared" si="18"/>
        <v>3560</v>
      </c>
      <c r="O25" s="15">
        <f t="shared" si="3"/>
        <v>5663.76</v>
      </c>
    </row>
    <row r="26">
      <c r="A26" s="9">
        <v>23.0</v>
      </c>
      <c r="B26" s="10" t="s">
        <v>13</v>
      </c>
      <c r="C26" s="11">
        <v>1109.39</v>
      </c>
      <c r="D26" s="12">
        <v>1913.46</v>
      </c>
      <c r="E26" s="11">
        <v>533.56</v>
      </c>
      <c r="F26" s="12">
        <v>290.0</v>
      </c>
      <c r="G26" s="11"/>
      <c r="H26" s="12"/>
      <c r="I26" s="11"/>
      <c r="J26" s="12"/>
      <c r="K26" s="11"/>
      <c r="L26" s="12"/>
      <c r="M26" s="22">
        <f t="shared" si="17"/>
        <v>1642.95</v>
      </c>
      <c r="N26" s="22">
        <f t="shared" si="18"/>
        <v>2203.46</v>
      </c>
      <c r="O26" s="15">
        <f t="shared" si="3"/>
        <v>3846.41</v>
      </c>
    </row>
    <row r="27">
      <c r="A27" s="9">
        <v>24.0</v>
      </c>
      <c r="B27" s="10" t="s">
        <v>14</v>
      </c>
      <c r="C27" s="11">
        <v>1136.35</v>
      </c>
      <c r="D27" s="12">
        <v>2418.93</v>
      </c>
      <c r="E27" s="11">
        <v>634.89</v>
      </c>
      <c r="F27" s="12">
        <v>729.67</v>
      </c>
      <c r="G27" s="11"/>
      <c r="H27" s="12"/>
      <c r="I27" s="11"/>
      <c r="J27" s="12"/>
      <c r="K27" s="11"/>
      <c r="L27" s="12"/>
      <c r="M27" s="22">
        <f t="shared" si="17"/>
        <v>1771.24</v>
      </c>
      <c r="N27" s="22">
        <f t="shared" si="18"/>
        <v>3148.6</v>
      </c>
      <c r="O27" s="15">
        <f t="shared" si="3"/>
        <v>4919.84</v>
      </c>
    </row>
    <row r="28">
      <c r="A28" s="9">
        <v>25.0</v>
      </c>
      <c r="B28" s="10" t="s">
        <v>15</v>
      </c>
      <c r="C28" s="11">
        <v>1435.01</v>
      </c>
      <c r="D28" s="12">
        <v>2126.21</v>
      </c>
      <c r="E28" s="11">
        <v>612.53</v>
      </c>
      <c r="F28" s="12">
        <v>584.76</v>
      </c>
      <c r="G28" s="11"/>
      <c r="H28" s="12"/>
      <c r="I28" s="11"/>
      <c r="J28" s="12"/>
      <c r="K28" s="11"/>
      <c r="L28" s="12"/>
      <c r="M28" s="22">
        <f t="shared" si="17"/>
        <v>2047.54</v>
      </c>
      <c r="N28" s="22">
        <f t="shared" si="18"/>
        <v>2710.97</v>
      </c>
      <c r="O28" s="15">
        <f t="shared" si="3"/>
        <v>4758.51</v>
      </c>
    </row>
    <row r="29">
      <c r="A29" s="9">
        <v>26.0</v>
      </c>
      <c r="B29" s="10" t="s">
        <v>9</v>
      </c>
      <c r="C29" s="11">
        <v>1022.77</v>
      </c>
      <c r="D29" s="12">
        <v>1975.52</v>
      </c>
      <c r="E29" s="27">
        <v>317.0</v>
      </c>
      <c r="F29" s="28">
        <v>648.65</v>
      </c>
      <c r="G29" s="13"/>
      <c r="H29" s="14"/>
      <c r="I29" s="13"/>
      <c r="J29" s="14"/>
      <c r="K29" s="13"/>
      <c r="L29" s="14"/>
      <c r="M29" s="22">
        <f t="shared" si="17"/>
        <v>1339.77</v>
      </c>
      <c r="N29" s="22">
        <f t="shared" si="18"/>
        <v>2624.17</v>
      </c>
      <c r="O29" s="15">
        <f t="shared" si="3"/>
        <v>3963.94</v>
      </c>
    </row>
    <row r="30">
      <c r="A30" s="9">
        <v>27.0</v>
      </c>
      <c r="B30" s="10" t="s">
        <v>10</v>
      </c>
      <c r="C30" s="11">
        <v>1442.04</v>
      </c>
      <c r="D30" s="12">
        <v>2608.54</v>
      </c>
      <c r="E30" s="11">
        <v>715.24</v>
      </c>
      <c r="F30" s="12">
        <v>905.3</v>
      </c>
      <c r="G30" s="30"/>
      <c r="H30" s="29"/>
      <c r="I30" s="30"/>
      <c r="J30" s="29"/>
      <c r="K30" s="30"/>
      <c r="L30" s="29"/>
      <c r="M30" s="22">
        <f t="shared" si="17"/>
        <v>2157.28</v>
      </c>
      <c r="N30" s="22">
        <f t="shared" si="18"/>
        <v>3513.84</v>
      </c>
      <c r="O30" s="15">
        <f t="shared" si="3"/>
        <v>5671.12</v>
      </c>
    </row>
    <row r="31">
      <c r="A31" s="9">
        <v>28.0</v>
      </c>
      <c r="B31" s="31" t="s">
        <v>11</v>
      </c>
      <c r="C31" s="11">
        <v>1236.52</v>
      </c>
      <c r="D31" s="12">
        <v>2150.69</v>
      </c>
      <c r="E31" s="11">
        <v>701.9</v>
      </c>
      <c r="F31" s="12">
        <v>886.9</v>
      </c>
      <c r="G31" s="30"/>
      <c r="H31" s="29"/>
      <c r="I31" s="30"/>
      <c r="J31" s="29"/>
      <c r="K31" s="30"/>
      <c r="L31" s="29"/>
      <c r="M31" s="22">
        <f t="shared" si="17"/>
        <v>1938.42</v>
      </c>
      <c r="N31" s="22">
        <f t="shared" si="18"/>
        <v>3037.59</v>
      </c>
      <c r="O31" s="15">
        <f t="shared" si="3"/>
        <v>4976.01</v>
      </c>
    </row>
    <row r="32">
      <c r="A32" s="9">
        <v>29.0</v>
      </c>
      <c r="B32" s="31" t="s">
        <v>12</v>
      </c>
      <c r="C32" s="11">
        <v>1178.78</v>
      </c>
      <c r="D32" s="12">
        <v>1760.96</v>
      </c>
      <c r="E32" s="11">
        <v>620.14</v>
      </c>
      <c r="F32" s="12">
        <v>443.98</v>
      </c>
      <c r="G32" s="30"/>
      <c r="H32" s="29"/>
      <c r="I32" s="30"/>
      <c r="J32" s="29"/>
      <c r="K32" s="30"/>
      <c r="L32" s="29"/>
      <c r="M32" s="22">
        <f t="shared" si="17"/>
        <v>1798.92</v>
      </c>
      <c r="N32" s="22">
        <f t="shared" si="18"/>
        <v>2204.94</v>
      </c>
      <c r="O32" s="15">
        <f t="shared" si="3"/>
        <v>4003.86</v>
      </c>
    </row>
    <row r="33">
      <c r="A33" s="9">
        <v>30.0</v>
      </c>
      <c r="B33" s="31" t="s">
        <v>13</v>
      </c>
      <c r="C33" s="11">
        <v>1216.68</v>
      </c>
      <c r="D33" s="12">
        <v>1426.92</v>
      </c>
      <c r="E33" s="11">
        <v>422.37</v>
      </c>
      <c r="F33" s="12">
        <v>635.23</v>
      </c>
      <c r="G33" s="30"/>
      <c r="H33" s="29"/>
      <c r="I33" s="30"/>
      <c r="J33" s="29"/>
      <c r="K33" s="30"/>
      <c r="L33" s="29"/>
      <c r="M33" s="22">
        <f t="shared" si="17"/>
        <v>1639.05</v>
      </c>
      <c r="N33" s="22">
        <f t="shared" si="18"/>
        <v>2062.15</v>
      </c>
      <c r="O33" s="15">
        <f t="shared" si="3"/>
        <v>3701.2</v>
      </c>
    </row>
    <row r="34">
      <c r="A34" s="9">
        <v>31.0</v>
      </c>
      <c r="B34" s="31" t="s">
        <v>14</v>
      </c>
      <c r="C34" s="32">
        <v>1213.02</v>
      </c>
      <c r="D34" s="33">
        <v>1851.22</v>
      </c>
      <c r="E34" s="32">
        <v>457.59</v>
      </c>
      <c r="F34" s="33">
        <v>679.87</v>
      </c>
      <c r="G34" s="34"/>
      <c r="H34" s="35"/>
      <c r="I34" s="34"/>
      <c r="J34" s="35"/>
      <c r="K34" s="34"/>
      <c r="L34" s="35"/>
      <c r="M34" s="22">
        <f t="shared" si="17"/>
        <v>1670.61</v>
      </c>
      <c r="N34" s="22">
        <f t="shared" si="18"/>
        <v>2531.09</v>
      </c>
      <c r="O34" s="15">
        <f t="shared" si="3"/>
        <v>4201.7</v>
      </c>
    </row>
    <row r="35" ht="32.25" customHeight="1">
      <c r="B35" s="36" t="s">
        <v>21</v>
      </c>
      <c r="C35" s="37">
        <f t="shared" ref="C35:L35" si="19">SUM(C4:C34)</f>
        <v>39520.05</v>
      </c>
      <c r="D35" s="38">
        <f t="shared" si="19"/>
        <v>64585.71</v>
      </c>
      <c r="E35" s="37">
        <f t="shared" si="19"/>
        <v>15843.54</v>
      </c>
      <c r="F35" s="38">
        <f t="shared" si="19"/>
        <v>20805.31</v>
      </c>
      <c r="G35" s="37">
        <f t="shared" si="19"/>
        <v>7883.47</v>
      </c>
      <c r="H35" s="38">
        <f t="shared" si="19"/>
        <v>10032.56</v>
      </c>
      <c r="I35" s="37">
        <f t="shared" si="19"/>
        <v>4848.91</v>
      </c>
      <c r="J35" s="38">
        <f t="shared" si="19"/>
        <v>2733.18</v>
      </c>
      <c r="K35" s="39">
        <f t="shared" si="19"/>
        <v>16412.51</v>
      </c>
      <c r="L35" s="38">
        <f t="shared" si="19"/>
        <v>27150.56</v>
      </c>
      <c r="M35" s="22">
        <f t="shared" si="17"/>
        <v>84508.48</v>
      </c>
      <c r="N35" s="22">
        <f t="shared" si="18"/>
        <v>125307.32</v>
      </c>
      <c r="O35" s="40">
        <f>M35+N35</f>
        <v>209815.8</v>
      </c>
    </row>
    <row r="36">
      <c r="M36" s="15">
        <f t="shared" ref="M36:N36" si="20">sum(M4:M34)</f>
        <v>84464.73</v>
      </c>
      <c r="N36" s="15">
        <f t="shared" si="20"/>
        <v>125293.96</v>
      </c>
      <c r="O36" s="15">
        <f>AVERAGE(O4:O34)</f>
        <v>6766.409355</v>
      </c>
    </row>
    <row r="37">
      <c r="B37" s="41" t="s">
        <v>22</v>
      </c>
      <c r="C37" s="22">
        <f t="shared" ref="C37:M37" si="21">AVERAGE(C4:C34)</f>
        <v>1274.840323</v>
      </c>
      <c r="D37" s="22">
        <f t="shared" si="21"/>
        <v>2083.41</v>
      </c>
      <c r="E37" s="22">
        <f t="shared" si="21"/>
        <v>511.0819355</v>
      </c>
      <c r="F37" s="22">
        <f t="shared" si="21"/>
        <v>671.1390323</v>
      </c>
      <c r="G37" s="22">
        <f t="shared" si="21"/>
        <v>463.7335294</v>
      </c>
      <c r="H37" s="22">
        <f t="shared" si="21"/>
        <v>590.1505882</v>
      </c>
      <c r="I37" s="22">
        <f t="shared" si="21"/>
        <v>303.056875</v>
      </c>
      <c r="J37" s="22">
        <f t="shared" si="21"/>
        <v>170.82375</v>
      </c>
      <c r="K37" s="22">
        <f t="shared" si="21"/>
        <v>965.4417647</v>
      </c>
      <c r="L37" s="22">
        <f t="shared" si="21"/>
        <v>1597.091765</v>
      </c>
      <c r="M37" s="22">
        <f t="shared" si="21"/>
        <v>2724.66871</v>
      </c>
    </row>
  </sheetData>
  <mergeCells count="5">
    <mergeCell ref="C2:D2"/>
    <mergeCell ref="E2:F2"/>
    <mergeCell ref="G2:H2"/>
    <mergeCell ref="I2:J2"/>
    <mergeCell ref="K2:L2"/>
  </mergeCells>
  <conditionalFormatting sqref="O4:O34">
    <cfRule type="expression" dxfId="0" priority="1">
      <formula>O4=max($O$4:$O$34)</formula>
    </cfRule>
  </conditionalFormatting>
  <conditionalFormatting sqref="O4:O34">
    <cfRule type="expression" dxfId="1" priority="2">
      <formula>O4=mIN($O$4:$O$34)</formula>
    </cfRule>
  </conditionalFormatting>
  <conditionalFormatting sqref="E4:E34">
    <cfRule type="expression" dxfId="0" priority="3">
      <formula>E4=max($E$4:$E$34)</formula>
    </cfRule>
  </conditionalFormatting>
  <conditionalFormatting sqref="E4:E34">
    <cfRule type="expression" dxfId="1" priority="4">
      <formula>E4=min($E$4:$E$34)</formula>
    </cfRule>
  </conditionalFormatting>
  <conditionalFormatting sqref="F4:F34">
    <cfRule type="expression" dxfId="0" priority="5">
      <formula>F4=max($F$4:$F$34)</formula>
    </cfRule>
  </conditionalFormatting>
  <conditionalFormatting sqref="F4:F34">
    <cfRule type="expression" dxfId="1" priority="6">
      <formula>F4=min($F$4:$F$34)</formula>
    </cfRule>
  </conditionalFormatting>
  <conditionalFormatting sqref="G4:G34 I33:I34">
    <cfRule type="expression" dxfId="1" priority="7">
      <formula>G4=min($G$4:$G$34)</formula>
    </cfRule>
  </conditionalFormatting>
  <conditionalFormatting sqref="G4:G34 I33:I34">
    <cfRule type="expression" dxfId="0" priority="8">
      <formula>G4=max($G$4:$G$34)</formula>
    </cfRule>
  </conditionalFormatting>
  <conditionalFormatting sqref="K4:K34">
    <cfRule type="expression" dxfId="1" priority="9">
      <formula>K4=min($K$4:$K$34)</formula>
    </cfRule>
  </conditionalFormatting>
  <conditionalFormatting sqref="K4:K34">
    <cfRule type="expression" dxfId="0" priority="10">
      <formula>K4=max($K$4:$K$34)</formula>
    </cfRule>
  </conditionalFormatting>
  <conditionalFormatting sqref="L4:L34">
    <cfRule type="expression" dxfId="1" priority="11">
      <formula>L4=min($L$4:$L$34)</formula>
    </cfRule>
  </conditionalFormatting>
  <conditionalFormatting sqref="L4:L34">
    <cfRule type="expression" dxfId="0" priority="12">
      <formula>L4=max($L$4:$L$34)</formula>
    </cfRule>
  </conditionalFormatting>
  <conditionalFormatting sqref="H4:H34 J33:J34">
    <cfRule type="expression" dxfId="1" priority="13">
      <formula>H4=min($H$4:$H$34)</formula>
    </cfRule>
  </conditionalFormatting>
  <conditionalFormatting sqref="H4:H34 J33:J34">
    <cfRule type="expression" dxfId="0" priority="14">
      <formula>H4=max($H$4:$H$34)</formula>
    </cfRule>
  </conditionalFormatting>
  <conditionalFormatting sqref="I4:I33">
    <cfRule type="expression" dxfId="0" priority="15">
      <formula>I4=max($I$4:$I$34)</formula>
    </cfRule>
  </conditionalFormatting>
  <conditionalFormatting sqref="I4:I33">
    <cfRule type="expression" dxfId="1" priority="16">
      <formula>I4=min($I$4:$I$34)</formula>
    </cfRule>
  </conditionalFormatting>
  <conditionalFormatting sqref="J4:J34">
    <cfRule type="expression" dxfId="1" priority="17">
      <formula>J4=min($J$4:$J$34)</formula>
    </cfRule>
  </conditionalFormatting>
  <conditionalFormatting sqref="J4:J34">
    <cfRule type="expression" dxfId="0" priority="18">
      <formula>J4=max($J$4:$J$34)</formula>
    </cfRule>
  </conditionalFormatting>
  <conditionalFormatting sqref="C4:C34">
    <cfRule type="expression" dxfId="0" priority="19">
      <formula>C4=max($C$4:$C$34)</formula>
    </cfRule>
  </conditionalFormatting>
  <conditionalFormatting sqref="C4:C34">
    <cfRule type="expression" dxfId="1" priority="20">
      <formula>C4=min($C$4:$C$34)</formula>
    </cfRule>
  </conditionalFormatting>
  <conditionalFormatting sqref="D4:D34">
    <cfRule type="expression" dxfId="0" priority="21">
      <formula>D4=max($D$4:$D$34)</formula>
    </cfRule>
  </conditionalFormatting>
  <conditionalFormatting sqref="D4:D34">
    <cfRule type="expression" dxfId="1" priority="22">
      <formula>D4=min($D$4:$D$34)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.38"/>
    <col customWidth="1" min="7" max="7" width="8.75"/>
  </cols>
  <sheetData>
    <row r="1">
      <c r="B1" s="1">
        <v>45713.0</v>
      </c>
    </row>
    <row r="3">
      <c r="C3" s="17"/>
      <c r="D3" s="2" t="s">
        <v>1</v>
      </c>
      <c r="E3" s="3"/>
    </row>
    <row r="4">
      <c r="D4" s="4" t="s">
        <v>5</v>
      </c>
      <c r="E4" s="5" t="s">
        <v>6</v>
      </c>
    </row>
    <row r="5">
      <c r="A5" s="9">
        <v>1.0</v>
      </c>
      <c r="B5" s="10">
        <v>1.779</v>
      </c>
      <c r="C5" s="18">
        <v>1.677</v>
      </c>
      <c r="D5" s="11">
        <v>398.04</v>
      </c>
      <c r="E5" s="12">
        <v>722.47</v>
      </c>
      <c r="F5" s="20">
        <f t="shared" ref="F5:F9" si="1">B5-(5072.72/3000)+0.04</f>
        <v>0.1280933333</v>
      </c>
      <c r="G5" s="20">
        <f t="shared" ref="G5:G9" si="2">C5-(6420.23/4000)+0.04</f>
        <v>0.1119425</v>
      </c>
      <c r="H5" s="20">
        <f t="shared" ref="H5:H14" si="3">(D5*F5)+(E5*G5)</f>
        <v>131.8613684</v>
      </c>
    </row>
    <row r="6">
      <c r="A6" s="9">
        <v>2.0</v>
      </c>
      <c r="B6" s="10">
        <v>1.779</v>
      </c>
      <c r="C6" s="18">
        <v>1.677</v>
      </c>
      <c r="D6" s="11">
        <v>216.62</v>
      </c>
      <c r="E6" s="12">
        <v>495.11</v>
      </c>
      <c r="F6" s="20">
        <f t="shared" si="1"/>
        <v>0.1280933333</v>
      </c>
      <c r="G6" s="20">
        <f t="shared" si="2"/>
        <v>0.1119425</v>
      </c>
      <c r="H6" s="20">
        <f t="shared" si="3"/>
        <v>83.17142904</v>
      </c>
    </row>
    <row r="7">
      <c r="A7" s="9">
        <v>3.0</v>
      </c>
      <c r="B7" s="10">
        <v>1.779</v>
      </c>
      <c r="C7" s="18">
        <v>1.677</v>
      </c>
      <c r="D7" s="11">
        <v>372.3</v>
      </c>
      <c r="E7" s="12">
        <v>863.32</v>
      </c>
      <c r="F7" s="20">
        <f t="shared" si="1"/>
        <v>0.1280933333</v>
      </c>
      <c r="G7" s="20">
        <f t="shared" si="2"/>
        <v>0.1119425</v>
      </c>
      <c r="H7" s="20">
        <f t="shared" si="3"/>
        <v>144.3313471</v>
      </c>
    </row>
    <row r="8">
      <c r="A8" s="9">
        <v>4.0</v>
      </c>
      <c r="B8" s="10">
        <v>1.779</v>
      </c>
      <c r="C8" s="18">
        <v>1.677</v>
      </c>
      <c r="D8" s="11">
        <v>346.43</v>
      </c>
      <c r="E8" s="12">
        <v>698.48</v>
      </c>
      <c r="F8" s="20">
        <f t="shared" si="1"/>
        <v>0.1280933333</v>
      </c>
      <c r="G8" s="20">
        <f t="shared" si="2"/>
        <v>0.1119425</v>
      </c>
      <c r="H8" s="20">
        <f t="shared" si="3"/>
        <v>122.5649709</v>
      </c>
    </row>
    <row r="9">
      <c r="A9" s="9">
        <v>5.0</v>
      </c>
      <c r="B9" s="10">
        <v>1.779</v>
      </c>
      <c r="C9" s="18">
        <v>1.677</v>
      </c>
      <c r="D9" s="11">
        <v>374.67</v>
      </c>
      <c r="E9" s="12">
        <v>694.4</v>
      </c>
      <c r="F9" s="20">
        <f t="shared" si="1"/>
        <v>0.1280933333</v>
      </c>
      <c r="G9" s="20">
        <f t="shared" si="2"/>
        <v>0.1119425</v>
      </c>
      <c r="H9" s="20">
        <f t="shared" si="3"/>
        <v>125.7256012</v>
      </c>
    </row>
    <row r="10">
      <c r="A10" s="9">
        <v>6.0</v>
      </c>
      <c r="B10" s="10">
        <v>1.779</v>
      </c>
      <c r="C10" s="18">
        <v>1.677</v>
      </c>
      <c r="D10" s="23">
        <v>274.65</v>
      </c>
      <c r="E10" s="23">
        <v>387.48</v>
      </c>
      <c r="F10" s="20">
        <f>B10-(5101.75/3000)+0.04</f>
        <v>0.1184166667</v>
      </c>
      <c r="G10" s="20">
        <f>C10-(11348.98/7000)+0.04</f>
        <v>0.09571714286</v>
      </c>
      <c r="H10" s="20">
        <f t="shared" si="3"/>
        <v>69.61161601</v>
      </c>
    </row>
    <row r="11">
      <c r="A11" s="9">
        <v>7.0</v>
      </c>
      <c r="H11" s="20">
        <f t="shared" si="3"/>
        <v>0</v>
      </c>
    </row>
    <row r="12">
      <c r="A12" s="9">
        <v>8.0</v>
      </c>
      <c r="H12" s="20">
        <f t="shared" si="3"/>
        <v>0</v>
      </c>
    </row>
    <row r="13">
      <c r="A13" s="9">
        <v>9.0</v>
      </c>
      <c r="H13" s="20">
        <f t="shared" si="3"/>
        <v>0</v>
      </c>
    </row>
    <row r="14">
      <c r="A14" s="9">
        <v>10.0</v>
      </c>
      <c r="H14" s="20">
        <f t="shared" si="3"/>
        <v>0</v>
      </c>
    </row>
    <row r="15">
      <c r="A15" s="9">
        <v>11.0</v>
      </c>
    </row>
  </sheetData>
  <mergeCells count="1">
    <mergeCell ref="D3:E3"/>
  </mergeCells>
  <conditionalFormatting sqref="C5:C10 D5:D8 E9">
    <cfRule type="expression" dxfId="0" priority="1">
      <formula>C5=max($F$2:$F$25)</formula>
    </cfRule>
  </conditionalFormatting>
  <conditionalFormatting sqref="C5:C10 D5:D8 E9">
    <cfRule type="expression" dxfId="1" priority="2">
      <formula>C5=min($F$2:$F$25)</formula>
    </cfRule>
  </conditionalFormatting>
  <conditionalFormatting sqref="E5:E8">
    <cfRule type="expression" dxfId="0" priority="3">
      <formula>E5=max($G$2:$G$25)</formula>
    </cfRule>
  </conditionalFormatting>
  <conditionalFormatting sqref="E5:E8">
    <cfRule type="expression" dxfId="1" priority="4">
      <formula>E5=min($G$2:$G$25)</formula>
    </cfRule>
  </conditionalFormatting>
  <conditionalFormatting sqref="D9">
    <cfRule type="expression" dxfId="0" priority="5">
      <formula>D9=max($E$2:$E$25)</formula>
    </cfRule>
  </conditionalFormatting>
  <conditionalFormatting sqref="D9">
    <cfRule type="expression" dxfId="1" priority="6">
      <formula>D9=min($E$2:$E$25)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26" t="s">
        <v>16</v>
      </c>
      <c r="C2" s="26" t="s">
        <v>17</v>
      </c>
      <c r="D2" s="23" t="s">
        <v>18</v>
      </c>
    </row>
    <row r="3">
      <c r="A3" s="23" t="s">
        <v>19</v>
      </c>
      <c r="B3" s="26">
        <v>1697.0</v>
      </c>
      <c r="C3" s="26">
        <v>1679.0</v>
      </c>
      <c r="D3" s="23">
        <v>1699.0</v>
      </c>
    </row>
    <row r="4">
      <c r="A4" s="23" t="s">
        <v>20</v>
      </c>
      <c r="B4" s="26">
        <v>1797.0</v>
      </c>
      <c r="C4" s="26">
        <v>1775.0</v>
      </c>
      <c r="D4" s="23">
        <v>1799.0</v>
      </c>
    </row>
    <row r="6">
      <c r="B6" s="23">
        <v>1689.0</v>
      </c>
    </row>
    <row r="7">
      <c r="B7" s="23">
        <v>1785.0</v>
      </c>
    </row>
  </sheetData>
  <drawing r:id="rId1"/>
</worksheet>
</file>