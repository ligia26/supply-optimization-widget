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68318" sheetId="1" r:id="rId5"/>
    <sheet state="visible" name="368319" sheetId="2" r:id="rId6"/>
    <sheet state="visible" name="368320" sheetId="3" r:id="rId7"/>
    <sheet state="visible" name="368321" sheetId="4" r:id="rId8"/>
    <sheet state="visible" name="368322" sheetId="5" r:id="rId9"/>
  </sheets>
  <definedNames/>
  <calcPr/>
</workbook>
</file>

<file path=xl/sharedStrings.xml><?xml version="1.0" encoding="utf-8"?>
<sst xmlns="http://schemas.openxmlformats.org/spreadsheetml/2006/main" count="103" uniqueCount="18">
  <si>
    <t>Prodotto</t>
  </si>
  <si>
    <t>Serbatoio</t>
  </si>
  <si>
    <t>Capacità Max (L)</t>
  </si>
  <si>
    <t>Giacenza Attuale (L)</t>
  </si>
  <si>
    <t>Litri Mancanti (Vuoto)</t>
  </si>
  <si>
    <t>Note</t>
  </si>
  <si>
    <t>Verde</t>
  </si>
  <si>
    <t>Serbatoio 1</t>
  </si>
  <si>
    <t>Serbatoio 2</t>
  </si>
  <si>
    <t>Serbatoio 3</t>
  </si>
  <si>
    <t>Diesel</t>
  </si>
  <si>
    <t>Performance</t>
  </si>
  <si>
    <t>Prezzo Acquisto (€/L)</t>
  </si>
  <si>
    <t>Prezzo Self (€/L)</t>
  </si>
  <si>
    <t>Prezzo Servito (€/L)</t>
  </si>
  <si>
    <t>Margine Self</t>
  </si>
  <si>
    <t>Margine Servito</t>
  </si>
  <si>
    <t>Benzina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</si>
</sst>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10000.0</v>
      </c>
      <c r="D2" s="2">
        <v>0.0</v>
      </c>
      <c r="E2" s="2">
        <f t="shared" ref="E2:E8" si="1">C2-D2</f>
        <v>10000</v>
      </c>
      <c r="F2" s="3"/>
    </row>
    <row r="3">
      <c r="A3" s="1" t="s">
        <v>6</v>
      </c>
      <c r="B3" s="1" t="s">
        <v>8</v>
      </c>
      <c r="C3" s="2">
        <v>10000.0</v>
      </c>
      <c r="D3" s="2">
        <v>10000.0</v>
      </c>
      <c r="E3" s="2">
        <f t="shared" si="1"/>
        <v>0</v>
      </c>
      <c r="F3" s="3"/>
    </row>
    <row r="4">
      <c r="A4" s="1" t="s">
        <v>6</v>
      </c>
      <c r="B4" s="1" t="s">
        <v>9</v>
      </c>
      <c r="C4" s="2">
        <v>10000.0</v>
      </c>
      <c r="D4" s="2">
        <v>0.0</v>
      </c>
      <c r="E4" s="2">
        <f t="shared" si="1"/>
        <v>10000</v>
      </c>
      <c r="F4" s="3"/>
    </row>
    <row r="5">
      <c r="A5" s="3" t="s">
        <v>10</v>
      </c>
      <c r="B5" s="3" t="s">
        <v>7</v>
      </c>
      <c r="C5" s="2">
        <v>10000.0</v>
      </c>
      <c r="D5" s="2">
        <v>2300.0</v>
      </c>
      <c r="E5" s="2">
        <f t="shared" si="1"/>
        <v>7700</v>
      </c>
      <c r="F5" s="3"/>
    </row>
    <row r="6">
      <c r="A6" s="3" t="s">
        <v>10</v>
      </c>
      <c r="B6" s="3" t="s">
        <v>8</v>
      </c>
      <c r="C6" s="2">
        <v>10000.0</v>
      </c>
      <c r="D6" s="2">
        <v>9000.0</v>
      </c>
      <c r="E6" s="2">
        <f t="shared" si="1"/>
        <v>1000</v>
      </c>
      <c r="F6" s="3"/>
    </row>
    <row r="7">
      <c r="A7" s="3" t="s">
        <v>10</v>
      </c>
      <c r="B7" s="3" t="s">
        <v>9</v>
      </c>
      <c r="C7" s="2">
        <v>15000.0</v>
      </c>
      <c r="D7" s="2">
        <v>9000.0</v>
      </c>
      <c r="E7" s="2">
        <f t="shared" si="1"/>
        <v>6000</v>
      </c>
      <c r="F7" s="3"/>
      <c r="J7" s="4">
        <v>1243.97</v>
      </c>
      <c r="K7" s="5">
        <v>1.24397</v>
      </c>
      <c r="L7" s="6">
        <f t="shared" ref="L7:L8" si="2">K7+0.04</f>
        <v>1.28397</v>
      </c>
      <c r="M7" s="6">
        <f t="shared" ref="M7:M8" si="3">L7*1.22</f>
        <v>1.5664434</v>
      </c>
    </row>
    <row r="8">
      <c r="A8" s="3" t="s">
        <v>11</v>
      </c>
      <c r="B8" s="3" t="s">
        <v>7</v>
      </c>
      <c r="C8" s="2">
        <v>10000.0</v>
      </c>
      <c r="D8" s="2">
        <v>9000.0</v>
      </c>
      <c r="E8" s="2">
        <f t="shared" si="1"/>
        <v>1000</v>
      </c>
      <c r="F8" s="3"/>
      <c r="J8" s="4">
        <v>1206.46</v>
      </c>
      <c r="K8" s="5">
        <v>1.20646</v>
      </c>
      <c r="L8" s="6">
        <f t="shared" si="2"/>
        <v>1.24646</v>
      </c>
      <c r="M8" s="6">
        <f t="shared" si="3"/>
        <v>1.5206812</v>
      </c>
    </row>
    <row r="17">
      <c r="A17" s="3" t="s">
        <v>0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</row>
    <row r="18">
      <c r="A18" s="3" t="s">
        <v>17</v>
      </c>
      <c r="B18" s="2">
        <v>1.57</v>
      </c>
      <c r="C18" s="2">
        <v>1.613</v>
      </c>
      <c r="D18" s="2">
        <v>2.249</v>
      </c>
      <c r="E18" s="7">
        <f t="shared" ref="E18:E20" si="4">C18-B18</f>
        <v>0.043</v>
      </c>
      <c r="F18" s="7">
        <f t="shared" ref="F18:F20" si="5">D18-B18</f>
        <v>0.679</v>
      </c>
    </row>
    <row r="19">
      <c r="A19" s="3" t="s">
        <v>10</v>
      </c>
      <c r="B19" s="2">
        <v>1.53</v>
      </c>
      <c r="C19" s="2">
        <v>1.649</v>
      </c>
      <c r="D19" s="2">
        <v>2.249</v>
      </c>
      <c r="E19" s="7">
        <f t="shared" si="4"/>
        <v>0.119</v>
      </c>
      <c r="F19" s="7">
        <f t="shared" si="5"/>
        <v>0.719</v>
      </c>
    </row>
    <row r="20">
      <c r="A20" s="3" t="s">
        <v>11</v>
      </c>
      <c r="B20" s="7"/>
      <c r="C20" s="7">
        <v>1.89</v>
      </c>
      <c r="D20" s="7">
        <v>2.05</v>
      </c>
      <c r="E20" s="7">
        <f t="shared" si="4"/>
        <v>1.89</v>
      </c>
      <c r="F20" s="7">
        <f t="shared" si="5"/>
        <v>2.05</v>
      </c>
    </row>
    <row r="22">
      <c r="C22" s="6">
        <f t="shared" ref="C22:C23" si="6">C18+0.6</f>
        <v>2.213</v>
      </c>
      <c r="D22" s="6">
        <f t="shared" ref="D22:D23" si="7">D18-C18</f>
        <v>0.636</v>
      </c>
    </row>
    <row r="23">
      <c r="C23" s="6">
        <f t="shared" si="6"/>
        <v>2.249</v>
      </c>
      <c r="D23" s="6">
        <f t="shared" si="7"/>
        <v>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10000.0</v>
      </c>
      <c r="D2" s="2">
        <v>8000.0</v>
      </c>
      <c r="E2" s="2">
        <f t="shared" ref="E2:E4" si="1">C2-D2</f>
        <v>2000</v>
      </c>
      <c r="F2" s="3"/>
    </row>
    <row r="3">
      <c r="A3" s="1" t="s">
        <v>6</v>
      </c>
      <c r="B3" s="8" t="s">
        <v>8</v>
      </c>
      <c r="C3" s="2">
        <v>0.0</v>
      </c>
      <c r="D3" s="2">
        <v>0.0</v>
      </c>
      <c r="E3" s="2">
        <f t="shared" si="1"/>
        <v>0</v>
      </c>
      <c r="F3" s="3"/>
    </row>
    <row r="4">
      <c r="A4" s="3" t="s">
        <v>10</v>
      </c>
      <c r="B4" s="8" t="s">
        <v>7</v>
      </c>
      <c r="C4" s="2">
        <v>10000.0</v>
      </c>
      <c r="D4" s="2">
        <v>9600.0</v>
      </c>
      <c r="E4" s="2">
        <f t="shared" si="1"/>
        <v>400</v>
      </c>
      <c r="F4" s="3"/>
    </row>
    <row r="13">
      <c r="A13" s="3" t="s">
        <v>0</v>
      </c>
      <c r="B13" s="3" t="s">
        <v>12</v>
      </c>
      <c r="C13" s="3" t="s">
        <v>13</v>
      </c>
      <c r="D13" s="3" t="s">
        <v>15</v>
      </c>
      <c r="F13" s="3"/>
    </row>
    <row r="14">
      <c r="A14" s="3" t="s">
        <v>17</v>
      </c>
      <c r="B14" s="2">
        <v>1.57</v>
      </c>
      <c r="C14" s="2">
        <v>1.603</v>
      </c>
      <c r="D14" s="7">
        <f t="shared" ref="D14:D15" si="2">C14-B14</f>
        <v>0.033</v>
      </c>
      <c r="F14" s="7"/>
    </row>
    <row r="15">
      <c r="A15" s="3" t="s">
        <v>10</v>
      </c>
      <c r="B15" s="2">
        <v>1.53</v>
      </c>
      <c r="C15" s="2">
        <v>1.639</v>
      </c>
      <c r="D15" s="7">
        <f t="shared" si="2"/>
        <v>0.109</v>
      </c>
      <c r="F1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50000.0</v>
      </c>
      <c r="D2" s="2">
        <v>14000.0</v>
      </c>
      <c r="E2" s="2">
        <f t="shared" ref="E2:E4" si="1">C2-D2</f>
        <v>36000</v>
      </c>
      <c r="F2" s="3"/>
    </row>
    <row r="3">
      <c r="A3" s="3" t="s">
        <v>10</v>
      </c>
      <c r="B3" s="3" t="s">
        <v>7</v>
      </c>
      <c r="C3" s="2">
        <v>35000.0</v>
      </c>
      <c r="D3" s="2">
        <v>35000.0</v>
      </c>
      <c r="E3" s="2">
        <f t="shared" si="1"/>
        <v>0</v>
      </c>
      <c r="F3" s="3"/>
    </row>
    <row r="4">
      <c r="A4" s="3" t="s">
        <v>10</v>
      </c>
      <c r="B4" s="8" t="s">
        <v>8</v>
      </c>
      <c r="C4" s="2">
        <v>15000.0</v>
      </c>
      <c r="D4" s="2">
        <v>12800.0</v>
      </c>
      <c r="E4" s="2">
        <f t="shared" si="1"/>
        <v>2200</v>
      </c>
      <c r="F4" s="3"/>
    </row>
    <row r="13">
      <c r="A13" s="3" t="s">
        <v>0</v>
      </c>
      <c r="B13" s="3" t="s">
        <v>12</v>
      </c>
      <c r="C13" s="3" t="s">
        <v>13</v>
      </c>
      <c r="D13" s="3" t="s">
        <v>15</v>
      </c>
      <c r="F13" s="3"/>
    </row>
    <row r="14">
      <c r="A14" s="3" t="s">
        <v>17</v>
      </c>
      <c r="B14" s="2">
        <v>1.5664</v>
      </c>
      <c r="C14" s="9">
        <v>1.603</v>
      </c>
      <c r="D14" s="7">
        <f t="shared" ref="D14:D15" si="2">C14-B14</f>
        <v>0.0366</v>
      </c>
      <c r="F14" s="7"/>
    </row>
    <row r="15">
      <c r="A15" s="3" t="s">
        <v>10</v>
      </c>
      <c r="B15" s="2">
        <v>1.5207</v>
      </c>
      <c r="C15" s="2">
        <v>1.649</v>
      </c>
      <c r="D15" s="7">
        <f t="shared" si="2"/>
        <v>0.1283</v>
      </c>
      <c r="F15" s="7"/>
    </row>
    <row r="17">
      <c r="B17" s="2"/>
    </row>
    <row r="18">
      <c r="B1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0.0</v>
      </c>
      <c r="D2" s="2">
        <v>0.0</v>
      </c>
      <c r="E2" s="2">
        <f t="shared" ref="E2:E4" si="1">C2-D2</f>
        <v>0</v>
      </c>
      <c r="F2" s="3"/>
    </row>
    <row r="3">
      <c r="A3" s="1" t="s">
        <v>6</v>
      </c>
      <c r="B3" s="8" t="s">
        <v>8</v>
      </c>
      <c r="C3" s="2">
        <v>10000.0</v>
      </c>
      <c r="D3" s="2">
        <v>8800.0</v>
      </c>
      <c r="E3" s="2">
        <f t="shared" si="1"/>
        <v>1200</v>
      </c>
      <c r="F3" s="3"/>
    </row>
    <row r="4">
      <c r="A4" s="3" t="s">
        <v>10</v>
      </c>
      <c r="B4" s="8" t="s">
        <v>7</v>
      </c>
      <c r="C4" s="2">
        <v>10000.0</v>
      </c>
      <c r="D4" s="2">
        <v>9600.0</v>
      </c>
      <c r="E4" s="2">
        <f t="shared" si="1"/>
        <v>400</v>
      </c>
      <c r="F4" s="3"/>
    </row>
    <row r="13">
      <c r="A13" s="3" t="s">
        <v>0</v>
      </c>
      <c r="B13" s="3" t="s">
        <v>12</v>
      </c>
      <c r="C13" s="3" t="s">
        <v>13</v>
      </c>
      <c r="D13" s="3" t="s">
        <v>15</v>
      </c>
      <c r="F13" s="3"/>
    </row>
    <row r="14">
      <c r="A14" s="3" t="s">
        <v>17</v>
      </c>
      <c r="B14" s="2">
        <v>1.57</v>
      </c>
      <c r="C14" s="9">
        <v>1.603</v>
      </c>
      <c r="D14" s="7">
        <f t="shared" ref="D14:D15" si="2">C14-B14</f>
        <v>0.033</v>
      </c>
      <c r="E14" s="6">
        <f>C14-0.04</f>
        <v>1.563</v>
      </c>
      <c r="F14" s="7"/>
    </row>
    <row r="15">
      <c r="A15" s="3" t="s">
        <v>10</v>
      </c>
      <c r="B15" s="2">
        <v>1.53</v>
      </c>
      <c r="C15" s="2">
        <v>1.649</v>
      </c>
      <c r="D15" s="7">
        <f t="shared" si="2"/>
        <v>0.119</v>
      </c>
      <c r="E15" s="6">
        <f>C15+0.04</f>
        <v>1.689</v>
      </c>
      <c r="F15" s="7"/>
    </row>
    <row r="16">
      <c r="D16" s="6">
        <f>SUM(D14:D15)</f>
        <v>0.152</v>
      </c>
    </row>
    <row r="17">
      <c r="B17" s="2"/>
      <c r="C17" s="2"/>
      <c r="D17" s="7"/>
    </row>
    <row r="18">
      <c r="B18" s="2"/>
      <c r="C18" s="2"/>
      <c r="D1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7000.0</v>
      </c>
      <c r="D2" s="2">
        <v>4700.0</v>
      </c>
      <c r="E2" s="2">
        <f t="shared" ref="E2:E5" si="1">C2-D2</f>
        <v>2300</v>
      </c>
      <c r="F2" s="3"/>
    </row>
    <row r="3">
      <c r="A3" s="1" t="s">
        <v>6</v>
      </c>
      <c r="B3" s="8" t="s">
        <v>8</v>
      </c>
      <c r="C3" s="2">
        <v>7000.0</v>
      </c>
      <c r="D3" s="2">
        <v>4900.0</v>
      </c>
      <c r="E3" s="2">
        <f t="shared" si="1"/>
        <v>2100</v>
      </c>
      <c r="F3" s="3"/>
    </row>
    <row r="4">
      <c r="A4" s="3" t="s">
        <v>10</v>
      </c>
      <c r="B4" s="3" t="s">
        <v>7</v>
      </c>
      <c r="C4" s="2">
        <v>7000.0</v>
      </c>
      <c r="D4" s="2">
        <v>6700.0</v>
      </c>
      <c r="E4" s="2">
        <f t="shared" si="1"/>
        <v>300</v>
      </c>
      <c r="F4" s="3"/>
    </row>
    <row r="5">
      <c r="A5" s="3" t="s">
        <v>10</v>
      </c>
      <c r="B5" s="8" t="s">
        <v>8</v>
      </c>
      <c r="C5" s="2">
        <v>7000.0</v>
      </c>
      <c r="D5" s="2">
        <v>6900.0</v>
      </c>
      <c r="E5" s="2">
        <f t="shared" si="1"/>
        <v>100</v>
      </c>
      <c r="F5" s="3"/>
    </row>
    <row r="14">
      <c r="A14" s="3" t="s">
        <v>0</v>
      </c>
      <c r="B14" s="3" t="s">
        <v>12</v>
      </c>
      <c r="C14" s="3" t="s">
        <v>13</v>
      </c>
      <c r="D14" s="3" t="s">
        <v>15</v>
      </c>
      <c r="F14" s="3"/>
    </row>
    <row r="15">
      <c r="A15" s="3" t="s">
        <v>17</v>
      </c>
      <c r="B15" s="2">
        <v>1.57</v>
      </c>
      <c r="C15" s="9">
        <v>1.603</v>
      </c>
      <c r="D15" s="7">
        <f t="shared" ref="D15:D16" si="2">C15-B15</f>
        <v>0.033</v>
      </c>
      <c r="F15" s="7"/>
    </row>
    <row r="16">
      <c r="A16" s="3" t="s">
        <v>10</v>
      </c>
      <c r="B16" s="2">
        <v>1.53</v>
      </c>
      <c r="C16" s="2">
        <v>1.649</v>
      </c>
      <c r="D16" s="7">
        <f t="shared" si="2"/>
        <v>0.119</v>
      </c>
      <c r="F16" s="7"/>
    </row>
  </sheetData>
  <drawing r:id="rId1"/>
</worksheet>
</file>